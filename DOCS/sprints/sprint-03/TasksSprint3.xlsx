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<sst xmlns="http://schemas.openxmlformats.org/spreadsheetml/2006/main" count="133" uniqueCount="133">
  <si>
    <t>Backlog</t>
  </si>
  <si>
    <t>ID</t>
  </si>
  <si>
    <t>Titulo</t>
  </si>
  <si>
    <t>Descrição</t>
  </si>
  <si>
    <t>Autor(es)</t>
  </si>
  <si>
    <t>Status</t>
  </si>
  <si>
    <t xml:space="preserve">Criterio de aceite</t>
  </si>
  <si>
    <t>Pontuação</t>
  </si>
  <si>
    <t xml:space="preserve">Dt. Fechamento</t>
  </si>
  <si>
    <t>BD01</t>
  </si>
  <si>
    <t>BD01.1</t>
  </si>
  <si>
    <t xml:space="preserve">Estrutura mínima de tabelas</t>
  </si>
  <si>
    <t xml:space="preserve">Modelar e executar a migration para a estrutura mínima de tabelas de documentos, campos de paths e metadados (JSONB) no PostgreSQL.</t>
  </si>
  <si>
    <t>William</t>
  </si>
  <si>
    <t xml:space="preserve">Em Andamento</t>
  </si>
  <si>
    <t xml:space="preserve">Cadastrar, editar e remover documentos,metadados, preservando o vínculo entre evidência e resposta final.</t>
  </si>
  <si>
    <t>BURNDOWN</t>
  </si>
  <si>
    <t>BD01.2</t>
  </si>
  <si>
    <t xml:space="preserve">Tabela associativa</t>
  </si>
  <si>
    <t xml:space="preserve">Criar tabela associativa para vincular as respostas do chatbot às evidências documentais correspondentes com chaves estrangeiras rígidas.</t>
  </si>
  <si>
    <t>Data</t>
  </si>
  <si>
    <t xml:space="preserve">Esforço Ideal</t>
  </si>
  <si>
    <t xml:space="preserve">Esforço Real</t>
  </si>
  <si>
    <t>BD01.3</t>
  </si>
  <si>
    <t xml:space="preserve">Camada de persistência e repositório tipado</t>
  </si>
  <si>
    <t xml:space="preserve">Desenvolver a camada de persistência e repositório tipado para a consulta estruturada de documentos e seus metadados.</t>
  </si>
  <si>
    <t xml:space="preserve">Lucas, William</t>
  </si>
  <si>
    <t>BD01.4</t>
  </si>
  <si>
    <t xml:space="preserve">Lógica de consulta pública</t>
  </si>
  <si>
    <t xml:space="preserve">Alterar a lógica de consulta pública no back-end para realizar o JOIN e anexar as evidências documentais nas respostas fornecidas.</t>
  </si>
  <si>
    <t>BD01.5</t>
  </si>
  <si>
    <t xml:space="preserve">Ajustar o componente de resposta do bot</t>
  </si>
  <si>
    <t xml:space="preserve">Ajustar o componente de resposta do bot para listar visualmente e disponibilizar os links de evidências que sustentam o texto.</t>
  </si>
  <si>
    <t xml:space="preserve">Eloah, Pedro</t>
  </si>
  <si>
    <t>BD02</t>
  </si>
  <si>
    <t>BD02.1</t>
  </si>
  <si>
    <t xml:space="preserve">Rotas protegidas para consulta de logs</t>
  </si>
  <si>
    <t xml:space="preserve">Criar rotas protegidas para consulta de logs com paginação e filtros básicos, acessível exclusivamente por admins master (validação JWT).</t>
  </si>
  <si>
    <t xml:space="preserve">Registrar cada interação com fluxo, pergunta, satisfação e horário, mantendo os logs disponíveis para consulta administrativa.</t>
  </si>
  <si>
    <t>BD02.2</t>
  </si>
  <si>
    <t xml:space="preserve">Frontend da página de logs</t>
  </si>
  <si>
    <t xml:space="preserve">Desenvolver a interface do histórico de logs administrativos no painel, contendo listagem em tabela responsiva e inputs para filtragem.</t>
  </si>
  <si>
    <t>BD02.3</t>
  </si>
  <si>
    <t xml:space="preserve">Registro e consulta de logs administrativos</t>
  </si>
  <si>
    <t xml:space="preserve">Integrar a tela de logs ao endpoint backend sob visibilidade restrita, injetando corretamente o token de autenticação.</t>
  </si>
  <si>
    <t xml:space="preserve">Eloah, Lucas, Pedro</t>
  </si>
  <si>
    <t>DW03</t>
  </si>
  <si>
    <t>DW03.1</t>
  </si>
  <si>
    <t xml:space="preserve">Implementar feedback visual de carregamento</t>
  </si>
  <si>
    <t xml:space="preserve">Implementar feedback visual de carregamento (Skeleton ou Spinner) e mensagens de erro amigáveis se nada for encontrado.</t>
  </si>
  <si>
    <t xml:space="preserve">Permitir consulta direta, localizar respostas cadastradas quando houver aderência e orientar o usuário quando a busca não resolver o caso.</t>
  </si>
  <si>
    <t>DW03.2</t>
  </si>
  <si>
    <t xml:space="preserve">Otimizar e refatorar a rota de busca direta</t>
  </si>
  <si>
    <t xml:space="preserve">Otimizar e refatorar a rota de busca direta no back-end para suportar paginação simples e tratamento correto de exceções em camadas.</t>
  </si>
  <si>
    <t>DW06</t>
  </si>
  <si>
    <t>DW06.1</t>
  </si>
  <si>
    <t xml:space="preserve">Criar a migration</t>
  </si>
  <si>
    <t xml:space="preserve">Criar a migration para a tabela avaliacoes_atendimento no PostgreSQL com chaves primárias e estrangeiras funcionais.</t>
  </si>
  <si>
    <t xml:space="preserve">Permitir uma única avaliação por interação, registrar o feedback e retornar confirmação de sucesso ao usuário.</t>
  </si>
  <si>
    <t>ES01</t>
  </si>
  <si>
    <t>ES01.25</t>
  </si>
  <si>
    <t>Documentação</t>
  </si>
  <si>
    <t xml:space="preserve">Garantir e atualizar os arquivos README próprios de documentação interna explicando a responsabilidade das pastas /frontend, /backend e /database.</t>
  </si>
  <si>
    <t xml:space="preserve">Felipe, Luiza</t>
  </si>
  <si>
    <t xml:space="preserve">Entregar README principal, READMEs das pastas principais e os diagramas UML obrigatórios de forma coerente com a implementação realizada.</t>
  </si>
  <si>
    <t>ES01.26</t>
  </si>
  <si>
    <t xml:space="preserve">Diagramas UML</t>
  </si>
  <si>
    <t xml:space="preserve">Produzir diagramas de Sequência e Componentes.</t>
  </si>
  <si>
    <t>Ariana</t>
  </si>
  <si>
    <t>Validação</t>
  </si>
  <si>
    <t>ES01.27</t>
  </si>
  <si>
    <t xml:space="preserve">Documentação de Testes</t>
  </si>
  <si>
    <t xml:space="preserve">Produzir documento de testes do produto, conforme modelo fornecido.</t>
  </si>
  <si>
    <t xml:space="preserve">Ter registrado os dados: ID do Teste, Título do Caso de Teste, Pré-condições, Entradas (Dados), Passos para Execução, Resultado Esperado, Resultado Obtido, Status (Passou/Falhou), Observações e Descrição das falhas ocorridas (se houver). Conforme modelo fornecido.</t>
  </si>
  <si>
    <t>TP02</t>
  </si>
  <si>
    <t>TP02.1</t>
  </si>
  <si>
    <t xml:space="preserve">Tabelas para menus e respostas estruturadas</t>
  </si>
  <si>
    <t xml:space="preserve">Modelar relacionalmente e criar tabelas para menus e respostas estruturadas no PostgreSQL com suporte a auto-relacionamento (árvore de menus).</t>
  </si>
  <si>
    <t xml:space="preserve">Permitir ao administrador manter menus e respostas pelo painel interno, com persistência correta e reflexo imediato na navegação.</t>
  </si>
  <si>
    <t>TP02.2</t>
  </si>
  <si>
    <t xml:space="preserve">Desenvolver o CRUD completo</t>
  </si>
  <si>
    <t xml:space="preserve">Desenvolver o CRUD completo no back-end para gerenciamento dinâmico de menus, fazendo a engine do chatbot consumir os dados do banco.</t>
  </si>
  <si>
    <t>TP02.3</t>
  </si>
  <si>
    <t xml:space="preserve">Proteção e validação de perfil de acesso</t>
  </si>
  <si>
    <t xml:space="preserve">Aplicar proteção via JWT e validação de perfil de acesso nos endpoints de alteração de menus, bloqueando requisições não administrativas.</t>
  </si>
  <si>
    <t>TP02.4</t>
  </si>
  <si>
    <t xml:space="preserve">Interface administrativa de listagem e árvore</t>
  </si>
  <si>
    <t xml:space="preserve">Criar a interface administrativa de listagem e árvore visual de hierarquia dos menus do bot.</t>
  </si>
  <si>
    <t>TP02.5</t>
  </si>
  <si>
    <t xml:space="preserve">Integração do painel administrativo</t>
  </si>
  <si>
    <t xml:space="preserve">Realizar a integração de ponta a ponta do painel administrativo com as APIs de CRUD do chatbot.</t>
  </si>
  <si>
    <t xml:space="preserve">Eloah, Pedro, William</t>
  </si>
  <si>
    <t>TP03</t>
  </si>
  <si>
    <t>TP03.1</t>
  </si>
  <si>
    <t xml:space="preserve">Campos de status ativo/inativo no banco</t>
  </si>
  <si>
    <t xml:space="preserve">Garantir no banco campos de status ativo/inativo (flag booleana) e restrições de nível de acesso para usuários da secretaria.</t>
  </si>
  <si>
    <t xml:space="preserve">Permitir a gestão de usuários da secretaria com papel definido, persistência correta e armazenamento seguro das senhas.</t>
  </si>
  <si>
    <t>TP03.2</t>
  </si>
  <si>
    <t xml:space="preserve">Implementar endpoints de CRUD</t>
  </si>
  <si>
    <t xml:space="preserve">Implementar endpoints de CRUD (cadastro, listagem paginada e desativação lógica) utilizando criptografia segura (hash/bcrypt) para senhas.</t>
  </si>
  <si>
    <t>TP03.3</t>
  </si>
  <si>
    <t xml:space="preserve">Desenvolver painel gerencial</t>
  </si>
  <si>
    <t xml:space="preserve">Desenvolver painel gerencial para exibição em tabela dos operadores, incluindo botão de alternância (Toggle Switch) de status.</t>
  </si>
  <si>
    <t>TP03.4</t>
  </si>
  <si>
    <t xml:space="preserve">Integrar a tela de usuários da secretaria</t>
  </si>
  <si>
    <t xml:space="preserve">Integrar a tela de usuários da secretaria com os endpoints protegidos por autenticação JWT (Bearer Token).</t>
  </si>
  <si>
    <t>TP05</t>
  </si>
  <si>
    <t>TP05.1</t>
  </si>
  <si>
    <t xml:space="preserve">Adicionar coluna de controle de status</t>
  </si>
  <si>
    <t xml:space="preserve">Adicionar coluna de controle de status (ex: 'pendente', 'triagem', 'respondido') e chaves de responsável na tabela de dúvidas.</t>
  </si>
  <si>
    <t xml:space="preserve">Listar as dúvidas recebidas, permitir a mudança de status e persistir as atualizações com controle de acesso adequado.</t>
  </si>
  <si>
    <t>TP05.2</t>
  </si>
  <si>
    <t xml:space="preserve">Criar rotas de listagem filtrada</t>
  </si>
  <si>
    <t xml:space="preserve">Criar rotas de listagem filtrada e atualização parcial de status de dúvidas recebidas (PATCH /duvidas/:id/status).</t>
  </si>
  <si>
    <t>TP05.3</t>
  </si>
  <si>
    <t xml:space="preserve">Desenvolver interface do painel da secretaria</t>
  </si>
  <si>
    <t xml:space="preserve">Desenvolver interface do painel da secretaria com tabelas organizadas e componentes de filtros por data ou status.</t>
  </si>
  <si>
    <t>TP05.4</t>
  </si>
  <si>
    <t xml:space="preserve">Criar componente de modal isolado</t>
  </si>
  <si>
    <t xml:space="preserve">Criar componente de modal isolado para visualização detalhada da dúvida e alteração ágil de status via dropdown select.</t>
  </si>
  <si>
    <t>TP05.5</t>
  </si>
  <si>
    <t xml:space="preserve">Integrar o painel e os componentes</t>
  </si>
  <si>
    <t xml:space="preserve">Integrar o painel e os componentes de triagem garantindo atualização reativa em tela sem recarregamento bruto da página.</t>
  </si>
  <si>
    <t>TP10</t>
  </si>
  <si>
    <t>TP10.1</t>
  </si>
  <si>
    <t xml:space="preserve">Garantir o isolamento total</t>
  </si>
  <si>
    <t xml:space="preserve">Garantir o isolamento total de chaves secretas JWT, credenciais PostgreSQL e portas exclusivamente em variáveis de ambiente (.env).</t>
  </si>
  <si>
    <t xml:space="preserve">Executar validação de desempenho nos fluxos principais e registrar que o tempo de resposta ficou adequado ao uso interativo do sistema.</t>
  </si>
  <si>
    <t>TP10.2</t>
  </si>
  <si>
    <t xml:space="preserve">Unificar a inicialização</t>
  </si>
  <si>
    <t xml:space="preserve">Ajustar a containerização com Docker e Docker Compose, unificando a inicialização de frontend, backend e banco em um comando único.</t>
  </si>
  <si>
    <t>Lucas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</si>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</sst>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/mm;@"/>
    <numFmt numFmtId="165" formatCode="0.0"/>
  </numFmts>
  <fonts count="15">
    <font>
      <sz val="11.000000"/>
      <color theme="1"/>
      <name val="Calibri"/>
      <scheme val="minor"/>
    </font>
    <font>
      <sz val="14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8.000000"/>
      <color indexed="65"/>
      <name val="Calibri"/>
    </font>
    <font>
      <b/>
      <sz val="18.000000"/>
      <color theme="0" tint="0"/>
      <name val="Calibri"/>
    </font>
    <font>
      <b/>
      <sz val="18.000000"/>
      <color theme="0" tint="0"/>
      <name val="Calibri"/>
      <scheme val="minor"/>
    </font>
    <font>
      <sz val="14.000000"/>
      <name val="Calibri"/>
    </font>
    <font>
      <sz val="14.000000"/>
      <color theme="1"/>
      <name val="Calibri"/>
    </font>
    <font>
      <b/>
      <sz val="16.000000"/>
      <color theme="1"/>
      <name val="Calibri"/>
    </font>
    <font>
      <b/>
      <sz val="16.000000"/>
      <color indexed="2"/>
      <name val="Calibri"/>
      <scheme val="minor"/>
    </font>
    <font>
      <b/>
      <sz val="20.000000"/>
      <color theme="1"/>
      <name val="Calibri"/>
      <scheme val="minor"/>
    </font>
    <font>
      <sz val="14.000000"/>
      <name val="Calibri"/>
      <scheme val="minor"/>
    </font>
    <font>
      <b/>
      <sz val="16.000000"/>
      <color theme="0" tint="0"/>
      <name val="Calibri"/>
      <scheme val="minor"/>
    </font>
    <font>
      <sz val="14.000000"/>
      <name val="Times New Roman"/>
    </font>
    <font>
      <b/>
      <sz val="18.000000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B99"/>
      </patternFill>
    </fill>
    <fill>
      <patternFill patternType="solid">
        <fgColor rgb="FF1F4B99"/>
        <bgColor rgb="FF1F4B99"/>
      </patternFill>
    </fill>
    <fill>
      <patternFill patternType="solid">
        <fgColor rgb="FFFFE597"/>
        <bgColor rgb="FFFFE597"/>
      </patternFill>
    </fill>
    <fill>
      <patternFill patternType="solid">
        <fgColor rgb="FFE5E7EB"/>
        <bgColor rgb="FFE5E7EB"/>
      </patternFill>
    </fill>
    <fill>
      <patternFill patternType="solid">
        <fgColor indexed="5"/>
        <bgColor indexed="5"/>
      </patternFill>
    </fill>
    <fill>
      <patternFill patternType="solid">
        <fgColor theme="0" tint="0"/>
        <bgColor theme="0" tint="0"/>
      </patternFill>
    </fill>
    <fill>
      <patternFill patternType="solid">
        <fgColor rgb="FFB3C6E7"/>
        <bgColor rgb="FFB3C6E7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7">
    <xf fontId="0" fillId="0" borderId="0" numFmtId="0" xfId="0"/>
    <xf fontId="1" fillId="0" borderId="0" numFmtId="0" xfId="0" applyFont="1" applyAlignment="1">
      <alignment horizontal="center" vertical="center"/>
    </xf>
    <xf fontId="2" fillId="0" borderId="0" numFmtId="0" xfId="0" applyFont="1" applyAlignment="1">
      <alignment horizontal="center" vertical="center"/>
    </xf>
    <xf fontId="3" fillId="2" borderId="1" numFmtId="0" xfId="0" applyFont="1" applyFill="1" applyBorder="1" applyAlignment="1">
      <alignment horizontal="center" vertical="center"/>
    </xf>
    <xf fontId="3" fillId="3" borderId="1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5" fillId="3" borderId="1" numFmtId="0" xfId="0" applyFont="1" applyFill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6" fillId="4" borderId="1" numFmtId="0" xfId="0" applyFont="1" applyFill="1" applyBorder="1" applyAlignment="1">
      <alignment horizontal="center" vertical="center"/>
    </xf>
    <xf fontId="7" fillId="4" borderId="1" numFmtId="0" xfId="0" applyFont="1" applyFill="1" applyBorder="1" applyAlignment="1">
      <alignment horizontal="center" vertical="center" wrapText="1"/>
    </xf>
    <xf fontId="8" fillId="4" borderId="1" numFmtId="0" xfId="0" applyFont="1" applyFill="1" applyBorder="1" applyAlignment="1">
      <alignment horizontal="center" vertical="center"/>
    </xf>
    <xf fontId="1" fillId="4" borderId="1" numFmtId="0" xfId="0" applyFont="1" applyFill="1" applyBorder="1" applyAlignment="1">
      <alignment horizontal="center" vertical="center"/>
    </xf>
    <xf fontId="9" fillId="5" borderId="1" numFmtId="0" xfId="0" applyFont="1" applyFill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0" fillId="6" borderId="4" numFmtId="0" xfId="0" applyFont="1" applyFill="1" applyBorder="1" applyAlignment="1">
      <alignment horizontal="center" vertical="center"/>
    </xf>
    <xf fontId="10" fillId="6" borderId="5" numFmtId="0" xfId="0" applyFont="1" applyFill="1" applyBorder="1" applyAlignment="1">
      <alignment horizontal="center" vertical="center"/>
    </xf>
    <xf fontId="10" fillId="6" borderId="6" numFmtId="0" xfId="0" applyFont="1" applyFill="1" applyBorder="1" applyAlignment="1">
      <alignment horizontal="center" vertical="center"/>
    </xf>
    <xf fontId="11" fillId="4" borderId="1" numFmtId="0" xfId="0" applyFont="1" applyFill="1" applyBorder="1" applyAlignment="1">
      <alignment horizontal="center" vertical="center"/>
    </xf>
    <xf fontId="2" fillId="5" borderId="1" numFmtId="0" xfId="0" applyFont="1" applyFill="1" applyBorder="1" applyAlignment="1">
      <alignment horizontal="center" vertical="center"/>
    </xf>
    <xf fontId="1" fillId="0" borderId="1" numFmtId="164" xfId="0" applyNumberFormat="1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12" fillId="5" borderId="1" numFmtId="0" xfId="0" applyFont="1" applyFill="1" applyBorder="1" applyAlignment="1">
      <alignment horizontal="center" vertical="center"/>
    </xf>
    <xf fontId="1" fillId="0" borderId="1" numFmtId="165" xfId="0" applyNumberFormat="1" applyFont="1" applyBorder="1" applyAlignment="1">
      <alignment horizontal="center" vertical="center"/>
    </xf>
    <xf fontId="7" fillId="0" borderId="1" numFmtId="165" xfId="0" applyNumberFormat="1" applyFont="1" applyBorder="1" applyAlignment="1">
      <alignment horizontal="center" vertical="center"/>
    </xf>
    <xf fontId="8" fillId="7" borderId="1" numFmtId="0" xfId="0" applyFont="1" applyFill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7" fillId="0" borderId="1" numFmtId="164" xfId="0" applyNumberFormat="1" applyFont="1" applyBorder="1" applyAlignment="1">
      <alignment horizontal="center" vertical="center"/>
    </xf>
    <xf fontId="7" fillId="0" borderId="1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1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/>
    </xf>
    <xf fontId="2" fillId="4" borderId="1" numFmtId="0" xfId="0" applyFont="1" applyFill="1" applyBorder="1" applyAlignment="1">
      <alignment horizontal="center" vertical="center"/>
    </xf>
    <xf fontId="2" fillId="5" borderId="1" numFmtId="16" xfId="0" applyNumberFormat="1" applyFont="1" applyFill="1" applyBorder="1" applyAlignment="1">
      <alignment horizontal="center" vertical="center"/>
    </xf>
    <xf fontId="1" fillId="0" borderId="0" numFmtId="0" xfId="0" applyFont="1" applyAlignment="1">
      <alignment horizontal="center"/>
    </xf>
    <xf fontId="6" fillId="8" borderId="1" numFmtId="0" xfId="0" applyFont="1" applyFill="1" applyBorder="1" applyAlignment="1">
      <alignment horizontal="center" vertical="center"/>
    </xf>
    <xf fontId="7" fillId="8" borderId="1" numFmtId="0" xfId="0" applyFont="1" applyFill="1" applyBorder="1" applyAlignment="1">
      <alignment horizontal="center" vertical="center" wrapText="1"/>
    </xf>
    <xf fontId="8" fillId="8" borderId="1" numFmtId="0" xfId="0" applyFont="1" applyFill="1" applyBorder="1" applyAlignment="1">
      <alignment horizontal="center" vertical="center"/>
    </xf>
    <xf fontId="1" fillId="8" borderId="1" numFmtId="0" xfId="0" applyFont="1" applyFill="1" applyBorder="1" applyAlignment="1">
      <alignment horizontal="center" vertical="center"/>
    </xf>
    <xf fontId="6" fillId="8" borderId="1" numFmtId="0" xfId="0" applyFont="1" applyFill="1" applyBorder="1" applyAlignment="1">
      <alignment horizontal="center" vertical="center" wrapText="1"/>
    </xf>
    <xf fontId="8" fillId="0" borderId="1" numFmtId="0" xfId="0" applyFont="1" applyBorder="1" applyAlignment="1">
      <alignment horizontal="center" vertical="center"/>
    </xf>
    <xf fontId="13" fillId="4" borderId="1" numFmtId="0" xfId="0" applyFont="1" applyFill="1" applyBorder="1" applyAlignment="1">
      <alignment horizontal="center" vertical="center"/>
    </xf>
    <xf fontId="1" fillId="4" borderId="1" numFmtId="0" xfId="0" applyFont="1" applyFill="1" applyBorder="1" applyAlignment="1">
      <alignment horizontal="center" vertical="center" wrapText="1"/>
    </xf>
    <xf fontId="10" fillId="0" borderId="1" numFmtId="0" xfId="0" applyFont="1" applyBorder="1" applyAlignment="1">
      <alignment horizontal="left" vertical="center"/>
    </xf>
    <xf fontId="14" fillId="0" borderId="1" numFmtId="0" xfId="0" applyFont="1" applyBorder="1" applyAlignment="1">
      <alignment horizontal="center" vertical="center"/>
    </xf>
    <xf fontId="6" fillId="0" borderId="0" numFmtId="0" xfId="0" applyFont="1" applyAlignment="1">
      <alignment horizontal="center" vertical="center"/>
    </xf>
    <xf fontId="7" fillId="0" borderId="0" numFmtId="0" xfId="0" applyFont="1" applyAlignment="1">
      <alignment horizontal="center" vertical="center"/>
    </xf>
    <xf fontId="1" fillId="0" borderId="0" numFmtId="164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 marL="0" marR="0" indent="0">
              <a:defRPr b="1"/>
            </a:pPr>
            <a:r>
              <a:rPr sz="1600" b="1"/>
              <a:t>Sprint 3</a:t>
            </a:r>
            <a:endParaRPr sz="1600" b="1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600" b="1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Folha1!$L$2:$L$3</c:f>
              <c:strCache>
                <c:ptCount val="2"/>
                <c:pt idx="1">
                  <c:v>Esforço Ideal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cat>
            <c:numRef>
              <c:f>Folha1!$K$4:$K$16</c:f>
              <c:numCache>
                <c:formatCode>dd/mm;@</c:formatCode>
                <c:ptCount val="13"/>
                <c:pt idx="0">
                  <c:v>46169</c:v>
                </c:pt>
                <c:pt idx="1">
                  <c:v>46170</c:v>
                </c:pt>
                <c:pt idx="2">
                  <c:v>46171</c:v>
                </c:pt>
                <c:pt idx="3">
                  <c:v>46172</c:v>
                </c:pt>
                <c:pt idx="4">
                  <c:v>46173</c:v>
                </c:pt>
                <c:pt idx="5">
                  <c:v>46174</c:v>
                </c:pt>
                <c:pt idx="6">
                  <c:v>46175</c:v>
                </c:pt>
                <c:pt idx="7">
                  <c:v>46176</c:v>
                </c:pt>
                <c:pt idx="8">
                  <c:v>46177</c:v>
                </c:pt>
                <c:pt idx="9">
                  <c:v>46178</c:v>
                </c:pt>
                <c:pt idx="10">
                  <c:v>46179</c:v>
                </c:pt>
                <c:pt idx="11">
                  <c:v>46180</c:v>
                </c:pt>
                <c:pt idx="12">
                  <c:v>46181</c:v>
                </c:pt>
              </c:numCache>
            </c:numRef>
          </c:cat>
          <c:val>
            <c:numRef>
              <c:f>Folha1!$L$4:$L$16</c:f>
              <c:numCache>
                <c:formatCode>General</c:formatCode>
                <c:ptCount val="13"/>
                <c:pt idx="0" formatCode="General">
                  <c:v>343</c:v>
                </c:pt>
                <c:pt idx="1" formatCode="0.0">
                  <c:v>314.41700000000003</c:v>
                </c:pt>
                <c:pt idx="2" formatCode="0.0">
                  <c:v>285.83400000000006</c:v>
                </c:pt>
                <c:pt idx="3" formatCode="0.0">
                  <c:v>257.2510000000001</c:v>
                </c:pt>
                <c:pt idx="4" formatCode="0.0">
                  <c:v>228.6680000000001</c:v>
                </c:pt>
                <c:pt idx="5" formatCode="0.0">
                  <c:v>200.0850000000001</c:v>
                </c:pt>
                <c:pt idx="6" formatCode="0.0">
                  <c:v>171.5020000000001</c:v>
                </c:pt>
                <c:pt idx="7" formatCode="0.0">
                  <c:v>142.9190000000001</c:v>
                </c:pt>
                <c:pt idx="8" formatCode="0.0">
                  <c:v>114.3360000000001</c:v>
                </c:pt>
                <c:pt idx="9" formatCode="0.0">
                  <c:v>85.7530000000001</c:v>
                </c:pt>
                <c:pt idx="10" formatCode="0.0">
                  <c:v>57.1700000000001</c:v>
                </c:pt>
                <c:pt idx="11" formatCode="0.0">
                  <c:v>28.587000000000103</c:v>
                </c:pt>
                <c:pt idx="12" formatCode="General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Folha1!$M$2:$M$3</c:f>
              <c:strCache>
                <c:ptCount val="2"/>
                <c:pt idx="1">
                  <c:v>Esforço Real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cat>
            <c:numRef>
              <c:f>Folha1!$K$4:$K$16</c:f>
              <c:numCache>
                <c:formatCode>dd/mm;@</c:formatCode>
                <c:ptCount val="13"/>
                <c:pt idx="0">
                  <c:v>46169</c:v>
                </c:pt>
                <c:pt idx="1">
                  <c:v>46170</c:v>
                </c:pt>
                <c:pt idx="2">
                  <c:v>46171</c:v>
                </c:pt>
                <c:pt idx="3">
                  <c:v>46172</c:v>
                </c:pt>
                <c:pt idx="4">
                  <c:v>46173</c:v>
                </c:pt>
                <c:pt idx="5">
                  <c:v>46174</c:v>
                </c:pt>
                <c:pt idx="6">
                  <c:v>46175</c:v>
                </c:pt>
                <c:pt idx="7">
                  <c:v>46176</c:v>
                </c:pt>
                <c:pt idx="8">
                  <c:v>46177</c:v>
                </c:pt>
                <c:pt idx="9">
                  <c:v>46178</c:v>
                </c:pt>
                <c:pt idx="10">
                  <c:v>46179</c:v>
                </c:pt>
                <c:pt idx="11">
                  <c:v>46180</c:v>
                </c:pt>
                <c:pt idx="12">
                  <c:v>46181</c:v>
                </c:pt>
              </c:numCache>
            </c:numRef>
          </c:cat>
          <c:val>
            <c:numRef>
              <c:f>Folha1!$M$4:$M$16</c:f>
              <c:numCache>
                <c:formatCode>General</c:formatCode>
                <c:ptCount val="13"/>
                <c:pt idx="0">
                  <c:v>343</c:v>
                </c:pt>
                <c:pt idx="1">
                  <c:v>323</c:v>
                </c:pt>
                <c:pt idx="2">
                  <c:v>303</c:v>
                </c:pt>
                <c:pt idx="3">
                  <c:v>283</c:v>
                </c:pt>
                <c:pt idx="4">
                  <c:v>263</c:v>
                </c:pt>
                <c:pt idx="5">
                  <c:v>243</c:v>
                </c:pt>
                <c:pt idx="6">
                  <c:v>223</c:v>
                </c:pt>
                <c:pt idx="7">
                  <c:v>203</c:v>
                </c:pt>
                <c:pt idx="8">
                  <c:v>132</c:v>
                </c:pt>
                <c:pt idx="9">
                  <c:v>99</c:v>
                </c:pt>
                <c:pt idx="10">
                  <c:v>66</c:v>
                </c:pt>
                <c:pt idx="11">
                  <c:v>33</c:v>
                </c:pt>
                <c:pt idx="12">
                  <c:v>0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1"/>
        <c:smooth val="0"/>
        <c:axId val="2140841477"/>
        <c:axId val="2140841478"/>
      </c:lineChart>
      <c:catAx>
        <c:axId val="2140841477"/>
        <c:scaling>
          <c:orientation val="minMax"/>
        </c:scaling>
        <c:delete val="0"/>
        <c:axPos val="b"/>
        <c:numFmt formatCode="dd/mm;@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78"/>
        <c:crosses val="autoZero"/>
        <c:auto val="1"/>
        <c:lblAlgn val="ctr"/>
        <c:lblOffset val="100"/>
        <c:tickMarkSkip val="1"/>
        <c:noMultiLvlLbl val="0"/>
      </c:catAx>
      <c:valAx>
        <c:axId val="2140841478"/>
        <c:scaling>
          <c:orientation val="minMax"/>
          <c:max val="35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7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38938199" y="546496"/>
      <a:ext cx="6086474" cy="371117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14</xdr:col>
      <xdr:colOff>0</xdr:colOff>
      <xdr:row>2</xdr:row>
      <xdr:rowOff>3571</xdr:rowOff>
    </xdr:from>
    <xdr:to>
      <xdr:col>23</xdr:col>
      <xdr:colOff>600074</xdr:colOff>
      <xdr:row>16</xdr:row>
      <xdr:rowOff>247649</xdr:rowOff>
    </xdr:to>
    <xdr:graphicFrame>
      <xdr:nvGraphicFramePr>
        <xdr:cNvPr id="636715710" name=""/>
        <xdr:cNvGraphicFramePr>
          <a:graphicFrameLocks xmlns:a="http://schemas.openxmlformats.org/drawingml/2006/main"/>
        </xdr:cNvGraphicFramePr>
      </xdr:nvGraphicFramePr>
      <xdr:xfrm rot="0" flipH="0" flipV="0">
        <a:off x="38938199" y="546496"/>
        <a:ext cx="6086474" cy="371117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" zoomScale="100" workbookViewId="0">
      <selection activeCell="A1" activeCellId="0" sqref="A1"/>
    </sheetView>
  </sheetViews>
  <sheetFormatPr defaultRowHeight="14.25"/>
  <cols>
    <col customWidth="1" min="1" max="1" style="1" width="13.57421875"/>
    <col customWidth="1" min="2" max="2" style="1" width="14.140625"/>
    <col customWidth="1" min="3" max="3" style="1" width="55.28125"/>
    <col customWidth="1" min="4" max="4" style="1" width="170.00390625"/>
    <col customWidth="1" min="5" max="5" style="1" width="27.57421875"/>
    <col customWidth="1" min="6" max="6" style="1" width="24.7109375"/>
    <col customWidth="1" min="7" max="7" style="1" width="158.421875"/>
    <col customWidth="1" min="8" max="8" style="1" width="18.421875"/>
    <col customWidth="1" min="9" max="9" style="2" width="26.140625"/>
    <col min="10" max="10" style="1" width="9.140625"/>
    <col customWidth="1" min="11" max="11" style="1" width="13.421875"/>
    <col customWidth="1" min="12" max="12" style="1" width="22.7109375"/>
    <col customWidth="1" min="13" max="13" style="1" width="21.28125"/>
    <col min="14" max="16384" style="1" width="9.140625"/>
  </cols>
  <sheetData>
    <row r="1" ht="23.25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6" t="s">
        <v>8</v>
      </c>
      <c r="J1" s="1"/>
      <c r="K1" s="7"/>
      <c r="L1" s="7"/>
      <c r="M1" s="7"/>
    </row>
    <row r="2" ht="19.5" customHeight="1">
      <c r="A2" s="8" t="s">
        <v>9</v>
      </c>
      <c r="B2" s="8" t="s">
        <v>10</v>
      </c>
      <c r="C2" s="8" t="s">
        <v>11</v>
      </c>
      <c r="D2" s="8" t="s">
        <v>12</v>
      </c>
      <c r="E2" s="9" t="s">
        <v>13</v>
      </c>
      <c r="F2" s="10" t="s">
        <v>14</v>
      </c>
      <c r="G2" s="8" t="s">
        <v>15</v>
      </c>
      <c r="H2" s="11">
        <v>11</v>
      </c>
      <c r="I2" s="12"/>
      <c r="J2" s="13"/>
      <c r="K2" s="14" t="s">
        <v>16</v>
      </c>
      <c r="L2" s="15"/>
      <c r="M2" s="16"/>
    </row>
    <row r="3" ht="19.5" customHeight="1">
      <c r="A3" s="8" t="s">
        <v>9</v>
      </c>
      <c r="B3" s="8" t="s">
        <v>17</v>
      </c>
      <c r="C3" s="8" t="s">
        <v>18</v>
      </c>
      <c r="D3" s="8" t="s">
        <v>19</v>
      </c>
      <c r="E3" s="9" t="s">
        <v>13</v>
      </c>
      <c r="F3" s="10" t="s">
        <v>14</v>
      </c>
      <c r="G3" s="8" t="s">
        <v>15</v>
      </c>
      <c r="H3" s="17">
        <v>11</v>
      </c>
      <c r="I3" s="12"/>
      <c r="J3" s="13"/>
      <c r="K3" s="6" t="s">
        <v>20</v>
      </c>
      <c r="L3" s="6" t="s">
        <v>21</v>
      </c>
      <c r="M3" s="6" t="s">
        <v>22</v>
      </c>
    </row>
    <row r="4" ht="19.5" customHeight="1">
      <c r="A4" s="8" t="s">
        <v>9</v>
      </c>
      <c r="B4" s="8" t="s">
        <v>23</v>
      </c>
      <c r="C4" s="8" t="s">
        <v>24</v>
      </c>
      <c r="D4" s="8" t="s">
        <v>25</v>
      </c>
      <c r="E4" s="9" t="s">
        <v>26</v>
      </c>
      <c r="F4" s="10" t="s">
        <v>14</v>
      </c>
      <c r="G4" s="8" t="s">
        <v>15</v>
      </c>
      <c r="H4" s="17">
        <v>11</v>
      </c>
      <c r="I4" s="18"/>
      <c r="J4" s="13"/>
      <c r="K4" s="19">
        <v>46169</v>
      </c>
      <c r="L4" s="20">
        <v>343</v>
      </c>
      <c r="M4" s="20">
        <v>343</v>
      </c>
    </row>
    <row r="5" ht="19.5" customHeight="1">
      <c r="A5" s="8" t="s">
        <v>9</v>
      </c>
      <c r="B5" s="8" t="s">
        <v>27</v>
      </c>
      <c r="C5" s="8" t="s">
        <v>28</v>
      </c>
      <c r="D5" s="8" t="s">
        <v>29</v>
      </c>
      <c r="E5" s="9" t="s">
        <v>13</v>
      </c>
      <c r="F5" s="10" t="s">
        <v>14</v>
      </c>
      <c r="G5" s="8" t="s">
        <v>15</v>
      </c>
      <c r="H5" s="17">
        <v>11</v>
      </c>
      <c r="I5" s="21"/>
      <c r="J5" s="13"/>
      <c r="K5" s="19">
        <v>46170</v>
      </c>
      <c r="L5" s="22">
        <f t="shared" ref="L5:L10" si="0">SUM(L4-28.583)</f>
        <v>314.41700000000003</v>
      </c>
      <c r="M5" s="20">
        <v>323</v>
      </c>
    </row>
    <row r="6" ht="19.5" customHeight="1">
      <c r="A6" s="8" t="s">
        <v>9</v>
      </c>
      <c r="B6" s="8" t="s">
        <v>30</v>
      </c>
      <c r="C6" s="8" t="s">
        <v>31</v>
      </c>
      <c r="D6" s="8" t="s">
        <v>32</v>
      </c>
      <c r="E6" s="11" t="s">
        <v>33</v>
      </c>
      <c r="F6" s="10" t="s">
        <v>14</v>
      </c>
      <c r="G6" s="8" t="s">
        <v>15</v>
      </c>
      <c r="H6" s="17">
        <v>11</v>
      </c>
      <c r="I6" s="21"/>
      <c r="J6" s="13"/>
      <c r="K6" s="19">
        <v>46171</v>
      </c>
      <c r="L6" s="23">
        <f t="shared" si="0"/>
        <v>285.83400000000006</v>
      </c>
      <c r="M6" s="20">
        <v>303</v>
      </c>
    </row>
    <row r="7" ht="19.5" customHeight="1">
      <c r="A7" s="20"/>
      <c r="B7" s="20"/>
      <c r="C7" s="20"/>
      <c r="D7" s="20"/>
      <c r="E7" s="20"/>
      <c r="F7" s="24"/>
      <c r="G7" s="20"/>
      <c r="H7" s="20"/>
      <c r="I7" s="25"/>
      <c r="J7" s="1"/>
      <c r="K7" s="26">
        <v>46172</v>
      </c>
      <c r="L7" s="23">
        <f t="shared" si="0"/>
        <v>257.25100000000009</v>
      </c>
      <c r="M7" s="27">
        <v>283</v>
      </c>
    </row>
    <row r="8" ht="19.5" customHeight="1">
      <c r="A8" s="8" t="s">
        <v>34</v>
      </c>
      <c r="B8" s="8" t="s">
        <v>35</v>
      </c>
      <c r="C8" s="8" t="s">
        <v>36</v>
      </c>
      <c r="D8" s="8" t="s">
        <v>37</v>
      </c>
      <c r="E8" s="9" t="s">
        <v>26</v>
      </c>
      <c r="F8" s="10" t="s">
        <v>14</v>
      </c>
      <c r="G8" s="8" t="s">
        <v>38</v>
      </c>
      <c r="H8" s="11">
        <v>19</v>
      </c>
      <c r="I8" s="18"/>
      <c r="J8" s="1"/>
      <c r="K8" s="19">
        <v>46173</v>
      </c>
      <c r="L8" s="23">
        <f t="shared" si="0"/>
        <v>228.66800000000009</v>
      </c>
      <c r="M8" s="20">
        <v>263</v>
      </c>
    </row>
    <row r="9" ht="19.5" customHeight="1">
      <c r="A9" s="8" t="s">
        <v>34</v>
      </c>
      <c r="B9" s="8" t="s">
        <v>39</v>
      </c>
      <c r="C9" s="8" t="s">
        <v>40</v>
      </c>
      <c r="D9" s="8" t="s">
        <v>41</v>
      </c>
      <c r="E9" s="11" t="s">
        <v>33</v>
      </c>
      <c r="F9" s="10" t="s">
        <v>14</v>
      </c>
      <c r="G9" s="8" t="s">
        <v>38</v>
      </c>
      <c r="H9" s="11">
        <v>18</v>
      </c>
      <c r="I9" s="18"/>
      <c r="K9" s="19">
        <v>46174</v>
      </c>
      <c r="L9" s="23">
        <f t="shared" si="0"/>
        <v>200.08500000000009</v>
      </c>
      <c r="M9" s="20">
        <v>243</v>
      </c>
    </row>
    <row r="10" ht="19.5" customHeight="1">
      <c r="A10" s="8" t="s">
        <v>34</v>
      </c>
      <c r="B10" s="8" t="s">
        <v>42</v>
      </c>
      <c r="C10" s="8" t="s">
        <v>43</v>
      </c>
      <c r="D10" s="8" t="s">
        <v>44</v>
      </c>
      <c r="E10" s="11" t="s">
        <v>45</v>
      </c>
      <c r="F10" s="10" t="s">
        <v>14</v>
      </c>
      <c r="G10" s="8" t="s">
        <v>38</v>
      </c>
      <c r="H10" s="11">
        <v>18</v>
      </c>
      <c r="I10" s="18"/>
      <c r="K10" s="19">
        <v>46175</v>
      </c>
      <c r="L10" s="23">
        <f t="shared" si="0"/>
        <v>171.50200000000009</v>
      </c>
      <c r="M10" s="20">
        <v>223</v>
      </c>
    </row>
    <row r="11" ht="19.5" customHeight="1">
      <c r="A11" s="28"/>
      <c r="B11" s="28"/>
      <c r="C11" s="28"/>
      <c r="D11" s="20"/>
      <c r="E11" s="29"/>
      <c r="F11" s="30"/>
      <c r="G11" s="20"/>
      <c r="H11" s="20"/>
      <c r="I11" s="25"/>
      <c r="K11" s="19">
        <v>46176</v>
      </c>
      <c r="L11" s="23">
        <f t="shared" ref="L11:L15" si="1">SUM(L10-28.583)</f>
        <v>142.9190000000001</v>
      </c>
      <c r="M11" s="20">
        <v>203</v>
      </c>
    </row>
    <row r="12" ht="19.5" customHeight="1">
      <c r="A12" s="8" t="s">
        <v>46</v>
      </c>
      <c r="B12" s="8" t="s">
        <v>47</v>
      </c>
      <c r="C12" s="8" t="s">
        <v>48</v>
      </c>
      <c r="D12" s="8" t="s">
        <v>49</v>
      </c>
      <c r="E12" s="11" t="s">
        <v>33</v>
      </c>
      <c r="F12" s="31" t="s">
        <v>14</v>
      </c>
      <c r="G12" s="8" t="s">
        <v>50</v>
      </c>
      <c r="H12" s="11">
        <v>17</v>
      </c>
      <c r="I12" s="18"/>
      <c r="K12" s="19">
        <v>46177</v>
      </c>
      <c r="L12" s="23">
        <f t="shared" si="1"/>
        <v>114.3360000000001</v>
      </c>
      <c r="M12" s="20">
        <v>132</v>
      </c>
    </row>
    <row r="13" ht="19.5" customHeight="1">
      <c r="A13" s="8" t="s">
        <v>46</v>
      </c>
      <c r="B13" s="8" t="s">
        <v>51</v>
      </c>
      <c r="C13" s="8" t="s">
        <v>52</v>
      </c>
      <c r="D13" s="8" t="s">
        <v>53</v>
      </c>
      <c r="E13" s="9" t="s">
        <v>26</v>
      </c>
      <c r="F13" s="31" t="s">
        <v>14</v>
      </c>
      <c r="G13" s="8" t="s">
        <v>50</v>
      </c>
      <c r="H13" s="11">
        <v>17</v>
      </c>
      <c r="I13" s="18"/>
      <c r="K13" s="19">
        <v>46178</v>
      </c>
      <c r="L13" s="23">
        <f t="shared" si="1"/>
        <v>85.7530000000001</v>
      </c>
      <c r="M13" s="20">
        <v>99</v>
      </c>
    </row>
    <row r="14" ht="19.5" customHeight="1">
      <c r="A14" s="28"/>
      <c r="B14" s="28"/>
      <c r="C14" s="28"/>
      <c r="D14" s="20"/>
      <c r="E14" s="29"/>
      <c r="F14" s="30"/>
      <c r="G14" s="20"/>
      <c r="H14" s="20"/>
      <c r="I14" s="25"/>
      <c r="K14" s="19">
        <v>46179</v>
      </c>
      <c r="L14" s="23">
        <f t="shared" si="1"/>
        <v>57.170000000000101</v>
      </c>
      <c r="M14" s="20">
        <v>66</v>
      </c>
    </row>
    <row r="15" ht="19.5" customHeight="1">
      <c r="A15" s="8" t="s">
        <v>54</v>
      </c>
      <c r="B15" s="8" t="s">
        <v>55</v>
      </c>
      <c r="C15" s="8" t="s">
        <v>56</v>
      </c>
      <c r="D15" s="8" t="s">
        <v>57</v>
      </c>
      <c r="E15" s="9" t="s">
        <v>13</v>
      </c>
      <c r="F15" s="31" t="s">
        <v>14</v>
      </c>
      <c r="G15" s="8" t="s">
        <v>58</v>
      </c>
      <c r="H15" s="11">
        <v>21</v>
      </c>
      <c r="I15" s="18"/>
      <c r="K15" s="19">
        <v>46180</v>
      </c>
      <c r="L15" s="23">
        <f t="shared" si="1"/>
        <v>28.587000000000103</v>
      </c>
      <c r="M15" s="20">
        <v>33</v>
      </c>
    </row>
    <row r="16" ht="19.5" customHeight="1">
      <c r="A16" s="28"/>
      <c r="B16" s="28"/>
      <c r="C16" s="28"/>
      <c r="D16" s="28"/>
      <c r="E16" s="29"/>
      <c r="F16" s="30"/>
      <c r="G16" s="20"/>
      <c r="H16" s="20"/>
      <c r="I16" s="25"/>
      <c r="K16" s="19">
        <v>46181</v>
      </c>
      <c r="L16" s="20">
        <v>0</v>
      </c>
      <c r="M16" s="20">
        <v>0</v>
      </c>
    </row>
    <row r="17" ht="19.5" customHeight="1">
      <c r="A17" s="8" t="s">
        <v>59</v>
      </c>
      <c r="B17" s="8" t="s">
        <v>60</v>
      </c>
      <c r="C17" s="8" t="s">
        <v>61</v>
      </c>
      <c r="D17" s="8" t="s">
        <v>62</v>
      </c>
      <c r="E17" s="9" t="s">
        <v>63</v>
      </c>
      <c r="F17" s="10" t="s">
        <v>14</v>
      </c>
      <c r="G17" s="8" t="s">
        <v>64</v>
      </c>
      <c r="H17" s="11">
        <v>11</v>
      </c>
      <c r="I17" s="32"/>
      <c r="K17" s="33"/>
      <c r="L17" s="33"/>
      <c r="M17" s="33"/>
    </row>
    <row r="18" ht="19.5" customHeight="1">
      <c r="A18" s="34" t="s">
        <v>59</v>
      </c>
      <c r="B18" s="34" t="s">
        <v>65</v>
      </c>
      <c r="C18" s="34" t="s">
        <v>66</v>
      </c>
      <c r="D18" s="34" t="s">
        <v>67</v>
      </c>
      <c r="E18" s="35" t="s">
        <v>68</v>
      </c>
      <c r="F18" s="36" t="s">
        <v>69</v>
      </c>
      <c r="G18" s="34" t="s">
        <v>67</v>
      </c>
      <c r="H18" s="37">
        <v>11</v>
      </c>
      <c r="I18" s="32">
        <v>46179</v>
      </c>
      <c r="K18" s="33"/>
      <c r="L18" s="33"/>
      <c r="M18" s="33"/>
    </row>
    <row r="19" ht="37.5">
      <c r="A19" s="34" t="s">
        <v>59</v>
      </c>
      <c r="B19" s="34" t="s">
        <v>70</v>
      </c>
      <c r="C19" s="34" t="s">
        <v>71</v>
      </c>
      <c r="D19" s="34" t="s">
        <v>72</v>
      </c>
      <c r="E19" s="35" t="s">
        <v>63</v>
      </c>
      <c r="F19" s="36" t="s">
        <v>69</v>
      </c>
      <c r="G19" s="38" t="s">
        <v>73</v>
      </c>
      <c r="H19" s="37">
        <v>12</v>
      </c>
      <c r="I19" s="32"/>
      <c r="K19" s="33"/>
      <c r="L19" s="33"/>
      <c r="M19" s="33"/>
    </row>
    <row r="20" ht="19.5" customHeight="1">
      <c r="A20" s="28"/>
      <c r="B20" s="28"/>
      <c r="C20" s="28"/>
      <c r="D20" s="20"/>
      <c r="E20" s="20"/>
      <c r="F20" s="39"/>
      <c r="G20" s="20"/>
      <c r="H20" s="20"/>
      <c r="I20" s="25"/>
      <c r="K20" s="33"/>
      <c r="L20" s="33"/>
      <c r="M20" s="33"/>
    </row>
    <row r="21" ht="19.5" customHeight="1">
      <c r="A21" s="8" t="s">
        <v>74</v>
      </c>
      <c r="B21" s="8" t="s">
        <v>75</v>
      </c>
      <c r="C21" s="40" t="s">
        <v>76</v>
      </c>
      <c r="D21" s="40" t="s">
        <v>77</v>
      </c>
      <c r="E21" s="41" t="s">
        <v>13</v>
      </c>
      <c r="F21" s="10" t="s">
        <v>14</v>
      </c>
      <c r="G21" s="8" t="s">
        <v>78</v>
      </c>
      <c r="H21" s="11">
        <v>11</v>
      </c>
      <c r="I21" s="18"/>
      <c r="K21" s="33"/>
      <c r="L21" s="33"/>
      <c r="M21" s="33"/>
    </row>
    <row r="22" ht="19.5" customHeight="1">
      <c r="A22" s="8" t="s">
        <v>74</v>
      </c>
      <c r="B22" s="8" t="s">
        <v>79</v>
      </c>
      <c r="C22" s="40" t="s">
        <v>80</v>
      </c>
      <c r="D22" s="40" t="s">
        <v>81</v>
      </c>
      <c r="E22" s="41" t="s">
        <v>26</v>
      </c>
      <c r="F22" s="10" t="s">
        <v>14</v>
      </c>
      <c r="G22" s="8" t="s">
        <v>78</v>
      </c>
      <c r="H22" s="11">
        <v>11</v>
      </c>
      <c r="I22" s="18"/>
      <c r="K22" s="33"/>
      <c r="L22" s="33"/>
      <c r="M22" s="33"/>
    </row>
    <row r="23" ht="19.5" customHeight="1">
      <c r="A23" s="8" t="s">
        <v>74</v>
      </c>
      <c r="B23" s="8" t="s">
        <v>82</v>
      </c>
      <c r="C23" s="40" t="s">
        <v>83</v>
      </c>
      <c r="D23" s="40" t="s">
        <v>84</v>
      </c>
      <c r="E23" s="41" t="s">
        <v>26</v>
      </c>
      <c r="F23" s="10" t="s">
        <v>14</v>
      </c>
      <c r="G23" s="8" t="s">
        <v>78</v>
      </c>
      <c r="H23" s="11">
        <v>11</v>
      </c>
      <c r="I23" s="18"/>
      <c r="K23" s="33"/>
      <c r="L23" s="33"/>
      <c r="M23" s="33"/>
    </row>
    <row r="24" ht="19.5" customHeight="1">
      <c r="A24" s="8" t="s">
        <v>74</v>
      </c>
      <c r="B24" s="8" t="s">
        <v>85</v>
      </c>
      <c r="C24" s="40" t="s">
        <v>86</v>
      </c>
      <c r="D24" s="40" t="s">
        <v>87</v>
      </c>
      <c r="E24" s="11" t="s">
        <v>33</v>
      </c>
      <c r="F24" s="10" t="s">
        <v>14</v>
      </c>
      <c r="G24" s="8" t="s">
        <v>78</v>
      </c>
      <c r="H24" s="11">
        <v>11</v>
      </c>
      <c r="I24" s="18"/>
      <c r="K24" s="33"/>
      <c r="L24" s="33"/>
      <c r="M24" s="33"/>
    </row>
    <row r="25" ht="19.5" customHeight="1">
      <c r="A25" s="8" t="s">
        <v>74</v>
      </c>
      <c r="B25" s="8" t="s">
        <v>88</v>
      </c>
      <c r="C25" s="40" t="s">
        <v>89</v>
      </c>
      <c r="D25" s="40" t="s">
        <v>90</v>
      </c>
      <c r="E25" s="11" t="s">
        <v>91</v>
      </c>
      <c r="F25" s="10" t="s">
        <v>14</v>
      </c>
      <c r="G25" s="8" t="s">
        <v>78</v>
      </c>
      <c r="H25" s="11">
        <v>11</v>
      </c>
      <c r="I25" s="18"/>
      <c r="K25" s="33"/>
      <c r="L25" s="33"/>
      <c r="M25" s="33"/>
    </row>
    <row r="26" ht="19.5" customHeight="1">
      <c r="A26" s="28"/>
      <c r="B26" s="28"/>
      <c r="C26" s="28"/>
      <c r="D26" s="28"/>
      <c r="E26" s="20"/>
      <c r="F26" s="39"/>
      <c r="G26" s="20"/>
      <c r="H26" s="20"/>
      <c r="I26" s="25"/>
      <c r="K26" s="33"/>
      <c r="L26" s="33"/>
      <c r="M26" s="33"/>
    </row>
    <row r="27" ht="19.5" customHeight="1">
      <c r="A27" s="8" t="s">
        <v>92</v>
      </c>
      <c r="B27" s="8" t="s">
        <v>93</v>
      </c>
      <c r="C27" s="40" t="s">
        <v>94</v>
      </c>
      <c r="D27" s="40" t="s">
        <v>95</v>
      </c>
      <c r="E27" s="41" t="s">
        <v>13</v>
      </c>
      <c r="F27" s="10" t="s">
        <v>14</v>
      </c>
      <c r="G27" s="8" t="s">
        <v>96</v>
      </c>
      <c r="H27" s="11">
        <v>8</v>
      </c>
      <c r="I27" s="18"/>
      <c r="K27" s="33"/>
      <c r="L27" s="33"/>
      <c r="M27" s="33"/>
    </row>
    <row r="28" ht="19.5" customHeight="1">
      <c r="A28" s="8" t="s">
        <v>92</v>
      </c>
      <c r="B28" s="8" t="s">
        <v>97</v>
      </c>
      <c r="C28" s="40" t="s">
        <v>98</v>
      </c>
      <c r="D28" s="40" t="s">
        <v>99</v>
      </c>
      <c r="E28" s="41" t="s">
        <v>26</v>
      </c>
      <c r="F28" s="10" t="s">
        <v>14</v>
      </c>
      <c r="G28" s="8" t="s">
        <v>96</v>
      </c>
      <c r="H28" s="11">
        <v>10</v>
      </c>
      <c r="I28" s="18"/>
      <c r="K28" s="33"/>
      <c r="L28" s="33"/>
      <c r="M28" s="33"/>
    </row>
    <row r="29" ht="19.5" customHeight="1">
      <c r="A29" s="8" t="s">
        <v>92</v>
      </c>
      <c r="B29" s="8" t="s">
        <v>100</v>
      </c>
      <c r="C29" s="40" t="s">
        <v>101</v>
      </c>
      <c r="D29" s="40" t="s">
        <v>102</v>
      </c>
      <c r="E29" s="11" t="s">
        <v>33</v>
      </c>
      <c r="F29" s="10" t="s">
        <v>14</v>
      </c>
      <c r="G29" s="8" t="s">
        <v>96</v>
      </c>
      <c r="H29" s="11">
        <v>8</v>
      </c>
      <c r="I29" s="18"/>
      <c r="K29" s="33"/>
      <c r="L29" s="33"/>
      <c r="M29" s="33"/>
    </row>
    <row r="30" ht="19.5" customHeight="1">
      <c r="A30" s="8" t="s">
        <v>92</v>
      </c>
      <c r="B30" s="8" t="s">
        <v>103</v>
      </c>
      <c r="C30" s="40" t="s">
        <v>104</v>
      </c>
      <c r="D30" s="40" t="s">
        <v>105</v>
      </c>
      <c r="E30" s="11" t="s">
        <v>45</v>
      </c>
      <c r="F30" s="10" t="s">
        <v>14</v>
      </c>
      <c r="G30" s="8" t="s">
        <v>96</v>
      </c>
      <c r="H30" s="11">
        <v>8</v>
      </c>
      <c r="I30" s="18"/>
      <c r="K30" s="33"/>
      <c r="L30" s="33"/>
      <c r="M30" s="33"/>
    </row>
    <row r="31" ht="19.5" customHeight="1">
      <c r="A31" s="28"/>
      <c r="B31" s="28"/>
      <c r="C31" s="28"/>
      <c r="D31" s="20"/>
      <c r="E31" s="20"/>
      <c r="F31" s="39"/>
      <c r="G31" s="20"/>
      <c r="H31" s="20"/>
      <c r="I31" s="25"/>
      <c r="K31" s="1"/>
      <c r="L31" s="1"/>
      <c r="M31" s="1"/>
    </row>
    <row r="32" ht="19.5" customHeight="1">
      <c r="A32" s="8" t="s">
        <v>106</v>
      </c>
      <c r="B32" s="8" t="s">
        <v>107</v>
      </c>
      <c r="C32" s="40" t="s">
        <v>108</v>
      </c>
      <c r="D32" s="40" t="s">
        <v>109</v>
      </c>
      <c r="E32" s="41" t="s">
        <v>13</v>
      </c>
      <c r="F32" s="10" t="s">
        <v>14</v>
      </c>
      <c r="G32" s="8" t="s">
        <v>110</v>
      </c>
      <c r="H32" s="11">
        <v>7</v>
      </c>
      <c r="I32" s="18"/>
    </row>
    <row r="33" ht="19.5" customHeight="1">
      <c r="A33" s="8" t="s">
        <v>106</v>
      </c>
      <c r="B33" s="8" t="s">
        <v>111</v>
      </c>
      <c r="C33" s="40" t="s">
        <v>112</v>
      </c>
      <c r="D33" s="40" t="s">
        <v>113</v>
      </c>
      <c r="E33" s="41" t="s">
        <v>26</v>
      </c>
      <c r="F33" s="10" t="s">
        <v>14</v>
      </c>
      <c r="G33" s="8" t="s">
        <v>110</v>
      </c>
      <c r="H33" s="11">
        <v>7</v>
      </c>
      <c r="I33" s="18"/>
    </row>
    <row r="34" ht="19.5" customHeight="1">
      <c r="A34" s="8" t="s">
        <v>106</v>
      </c>
      <c r="B34" s="8" t="s">
        <v>114</v>
      </c>
      <c r="C34" s="40" t="s">
        <v>115</v>
      </c>
      <c r="D34" s="40" t="s">
        <v>116</v>
      </c>
      <c r="E34" s="11" t="s">
        <v>33</v>
      </c>
      <c r="F34" s="10" t="s">
        <v>14</v>
      </c>
      <c r="G34" s="8" t="s">
        <v>110</v>
      </c>
      <c r="H34" s="11">
        <v>7</v>
      </c>
      <c r="I34" s="18"/>
    </row>
    <row r="35" ht="19.5" customHeight="1">
      <c r="A35" s="8" t="s">
        <v>106</v>
      </c>
      <c r="B35" s="8" t="s">
        <v>117</v>
      </c>
      <c r="C35" s="40" t="s">
        <v>118</v>
      </c>
      <c r="D35" s="40" t="s">
        <v>119</v>
      </c>
      <c r="E35" s="11" t="s">
        <v>33</v>
      </c>
      <c r="F35" s="10" t="s">
        <v>14</v>
      </c>
      <c r="G35" s="8" t="s">
        <v>110</v>
      </c>
      <c r="H35" s="11">
        <v>6</v>
      </c>
      <c r="I35" s="18"/>
    </row>
    <row r="36" ht="19.5" customHeight="1">
      <c r="A36" s="8" t="s">
        <v>106</v>
      </c>
      <c r="B36" s="8" t="s">
        <v>120</v>
      </c>
      <c r="C36" s="40" t="s">
        <v>121</v>
      </c>
      <c r="D36" s="40" t="s">
        <v>122</v>
      </c>
      <c r="E36" s="11" t="s">
        <v>91</v>
      </c>
      <c r="F36" s="10" t="s">
        <v>14</v>
      </c>
      <c r="G36" s="8" t="s">
        <v>110</v>
      </c>
      <c r="H36" s="11">
        <v>7</v>
      </c>
      <c r="I36" s="18"/>
    </row>
    <row r="37" ht="19.5" customHeight="1">
      <c r="A37" s="28"/>
      <c r="B37" s="28"/>
      <c r="C37" s="28"/>
      <c r="D37" s="20"/>
      <c r="E37" s="20"/>
      <c r="F37" s="39"/>
      <c r="G37" s="20"/>
      <c r="H37" s="20"/>
      <c r="I37" s="25"/>
    </row>
    <row r="38" ht="19.5" customHeight="1">
      <c r="A38" s="8" t="s">
        <v>123</v>
      </c>
      <c r="B38" s="8" t="s">
        <v>124</v>
      </c>
      <c r="C38" s="40" t="s">
        <v>125</v>
      </c>
      <c r="D38" s="40" t="s">
        <v>126</v>
      </c>
      <c r="E38" s="41" t="s">
        <v>26</v>
      </c>
      <c r="F38" s="10" t="s">
        <v>14</v>
      </c>
      <c r="G38" s="8" t="s">
        <v>127</v>
      </c>
      <c r="H38" s="11">
        <v>10</v>
      </c>
      <c r="I38" s="18"/>
    </row>
    <row r="39" ht="19.5" customHeight="1">
      <c r="A39" s="8" t="s">
        <v>123</v>
      </c>
      <c r="B39" s="8" t="s">
        <v>128</v>
      </c>
      <c r="C39" s="40" t="s">
        <v>129</v>
      </c>
      <c r="D39" s="40" t="s">
        <v>130</v>
      </c>
      <c r="E39" s="11" t="s">
        <v>131</v>
      </c>
      <c r="F39" s="10" t="s">
        <v>14</v>
      </c>
      <c r="G39" s="8" t="s">
        <v>127</v>
      </c>
      <c r="H39" s="11">
        <v>11</v>
      </c>
      <c r="I39" s="18"/>
    </row>
    <row r="40" ht="19.5" customHeight="1">
      <c r="A40" s="42" t="s">
        <v>132</v>
      </c>
      <c r="B40" s="42"/>
      <c r="C40" s="42"/>
      <c r="D40" s="42"/>
      <c r="E40" s="42"/>
      <c r="F40" s="42"/>
      <c r="G40" s="42"/>
      <c r="H40" s="43">
        <f>SUM(H2,H3,H4,H5,H6,H8,H9,H10,H12,H13,H15,H17,H18,H21,H22,H23,H24,H25,H27,H28,H29,H30,H32,H33,H34,H35,H36,H38,H39)</f>
        <v>331</v>
      </c>
    </row>
    <row r="41" ht="17.25">
      <c r="A41" s="1"/>
    </row>
    <row r="42" ht="17.25">
      <c r="A42" s="44"/>
      <c r="B42" s="44"/>
      <c r="C42" s="44"/>
      <c r="F42" s="45"/>
    </row>
    <row r="43" ht="17.25">
      <c r="A43" s="44"/>
      <c r="B43" s="44"/>
      <c r="C43" s="44"/>
      <c r="F43" s="45"/>
    </row>
    <row r="44" ht="17.25">
      <c r="A44" s="44"/>
      <c r="B44" s="44"/>
      <c r="C44" s="44"/>
      <c r="F44" s="45"/>
    </row>
    <row r="45" ht="17.25">
      <c r="A45" s="44"/>
      <c r="B45" s="44"/>
      <c r="C45" s="44"/>
      <c r="F45" s="45"/>
    </row>
    <row r="46" ht="17.25">
      <c r="A46" s="1"/>
      <c r="F46" s="45"/>
    </row>
    <row r="47" ht="17.25">
      <c r="A47" s="44"/>
      <c r="B47" s="44"/>
      <c r="C47" s="44"/>
      <c r="D47" s="44"/>
      <c r="F47" s="45"/>
    </row>
    <row r="48" ht="17.25">
      <c r="A48" s="44"/>
      <c r="B48" s="44"/>
      <c r="C48" s="44"/>
      <c r="F48" s="45"/>
      <c r="K48" s="46"/>
      <c r="L48" s="1"/>
      <c r="M48" s="1"/>
    </row>
    <row r="49" ht="17.25">
      <c r="A49" s="44"/>
      <c r="B49" s="44"/>
      <c r="C49" s="44"/>
      <c r="F49" s="45"/>
    </row>
    <row r="50" ht="17.25">
      <c r="A50" s="44"/>
      <c r="B50" s="44"/>
      <c r="C50" s="44"/>
      <c r="F50" s="45"/>
    </row>
    <row r="51" ht="17.25">
      <c r="A51" s="44"/>
      <c r="B51" s="44"/>
      <c r="C51" s="44"/>
      <c r="F51" s="45"/>
    </row>
    <row r="52" ht="17.25">
      <c r="A52" s="44"/>
      <c r="B52" s="44"/>
      <c r="C52" s="44"/>
      <c r="F52" s="45"/>
    </row>
    <row r="53" ht="17.25">
      <c r="A53" s="44"/>
      <c r="B53" s="44"/>
      <c r="C53" s="44"/>
      <c r="F53" s="45"/>
    </row>
    <row r="54" ht="17.25">
      <c r="A54" s="1"/>
      <c r="F54" s="45"/>
    </row>
    <row r="55" ht="17.25">
      <c r="A55" s="44"/>
      <c r="B55" s="44"/>
      <c r="C55" s="44"/>
      <c r="D55" s="44"/>
      <c r="F55" s="45"/>
    </row>
    <row r="56" ht="17.25">
      <c r="A56" s="44"/>
      <c r="B56" s="44"/>
      <c r="C56" s="44"/>
      <c r="F56" s="45"/>
    </row>
    <row r="57" ht="17.25">
      <c r="A57" s="44"/>
      <c r="B57" s="44"/>
      <c r="C57" s="44"/>
      <c r="F57" s="45"/>
    </row>
    <row r="58" ht="17.25">
      <c r="A58" s="44"/>
      <c r="B58" s="44"/>
      <c r="C58" s="44"/>
      <c r="F58" s="45"/>
    </row>
    <row r="59" ht="18.75">
      <c r="A59" s="44"/>
      <c r="B59" s="44"/>
      <c r="C59" s="44"/>
      <c r="D59" s="1"/>
      <c r="F59" s="45"/>
    </row>
    <row r="60" ht="18.75">
      <c r="A60" s="1"/>
      <c r="B60" s="1"/>
      <c r="C60" s="1"/>
      <c r="F60" s="45"/>
    </row>
    <row r="61" ht="17.25">
      <c r="A61" s="44"/>
      <c r="B61" s="44"/>
      <c r="C61" s="44"/>
      <c r="D61" s="44"/>
      <c r="F61" s="45"/>
    </row>
    <row r="62" ht="17.25">
      <c r="A62" s="44"/>
      <c r="B62" s="44"/>
      <c r="C62" s="44"/>
      <c r="F62" s="45"/>
    </row>
    <row r="63" ht="17.25">
      <c r="A63" s="44"/>
      <c r="B63" s="44"/>
      <c r="C63" s="44"/>
      <c r="F63" s="45"/>
    </row>
    <row r="64" ht="17.25">
      <c r="A64" s="44"/>
      <c r="B64" s="44"/>
      <c r="C64" s="44"/>
      <c r="F64" s="45"/>
    </row>
    <row r="65" ht="17.25">
      <c r="A65" s="44"/>
      <c r="B65" s="44"/>
      <c r="C65" s="44"/>
      <c r="F65" s="45"/>
    </row>
    <row r="66" ht="14.25">
      <c r="A66" s="44"/>
      <c r="B66" s="44"/>
      <c r="C66" s="44"/>
      <c r="F66" s="45"/>
    </row>
    <row r="67" ht="14.25">
      <c r="A67" s="1"/>
      <c r="F67" s="45"/>
    </row>
    <row r="68" ht="14.25">
      <c r="A68" s="44"/>
      <c r="B68" s="44"/>
      <c r="C68" s="44"/>
      <c r="D68" s="44"/>
      <c r="F68" s="45"/>
    </row>
    <row r="69" ht="14.25">
      <c r="A69" s="44"/>
      <c r="B69" s="44"/>
      <c r="C69" s="44"/>
      <c r="F69" s="45"/>
    </row>
    <row r="70" ht="14.25">
      <c r="A70" s="44"/>
      <c r="B70" s="44"/>
      <c r="C70" s="44"/>
      <c r="F70" s="45"/>
    </row>
    <row r="71" ht="14.25">
      <c r="A71" s="44"/>
      <c r="B71" s="44"/>
      <c r="C71" s="44"/>
      <c r="D71" s="1"/>
      <c r="F71" s="45"/>
    </row>
    <row r="72" ht="14.25">
      <c r="A72" s="44"/>
      <c r="B72" s="44"/>
      <c r="C72" s="44"/>
      <c r="F72" s="45"/>
    </row>
    <row r="73" ht="14.25">
      <c r="A73" s="44"/>
      <c r="B73" s="44"/>
      <c r="C73" s="44"/>
      <c r="F73" s="45"/>
    </row>
    <row r="74" ht="14.25">
      <c r="A74" s="1"/>
      <c r="B74" s="1"/>
      <c r="C74" s="1"/>
      <c r="F74" s="45"/>
    </row>
    <row r="75" ht="14.25">
      <c r="A75" s="44"/>
      <c r="B75" s="44"/>
      <c r="C75" s="44"/>
      <c r="D75" s="44"/>
      <c r="F75" s="45"/>
    </row>
    <row r="76" ht="14.25">
      <c r="A76" s="44"/>
      <c r="B76" s="44"/>
      <c r="C76" s="44"/>
      <c r="F76" s="45"/>
    </row>
    <row r="77" ht="14.25">
      <c r="A77" s="44"/>
      <c r="B77" s="44"/>
      <c r="C77" s="44"/>
      <c r="F77" s="45"/>
    </row>
    <row r="78" ht="14.25">
      <c r="A78" s="44"/>
      <c r="B78" s="44"/>
      <c r="C78" s="44"/>
      <c r="F78" s="45"/>
    </row>
    <row r="79" ht="14.25">
      <c r="A79" s="44"/>
      <c r="B79" s="44"/>
      <c r="C79" s="44"/>
      <c r="F79" s="45"/>
    </row>
    <row r="80" ht="14.25">
      <c r="A80" s="1"/>
      <c r="F80" s="1"/>
    </row>
    <row r="81" ht="14.25">
      <c r="A81" s="1"/>
    </row>
    <row r="82" ht="14.25">
      <c r="A82" s="1"/>
    </row>
    <row r="83" ht="14.25">
      <c r="A83" s="1"/>
      <c r="B83" s="1"/>
      <c r="C83" s="1"/>
    </row>
    <row r="84" ht="14.25">
      <c r="A84" s="1"/>
      <c r="B84" s="1"/>
      <c r="C84" s="1"/>
    </row>
    <row r="85" ht="14.25">
      <c r="A85" s="1"/>
      <c r="B85" s="1"/>
      <c r="C85" s="1"/>
    </row>
    <row r="86" ht="14.25">
      <c r="A86" s="1"/>
      <c r="B86" s="1"/>
      <c r="C86" s="1"/>
    </row>
    <row r="87" ht="14.25">
      <c r="A87" s="1"/>
      <c r="B87" s="1"/>
      <c r="C87" s="1"/>
    </row>
    <row r="88" ht="14.25">
      <c r="A88" s="1"/>
    </row>
    <row r="89" ht="14.25">
      <c r="A89" s="1"/>
    </row>
    <row r="91" ht="14.25">
      <c r="A91" s="1"/>
    </row>
    <row r="92" ht="14.25">
      <c r="A92" s="1"/>
    </row>
    <row r="93" ht="14.25">
      <c r="A93" s="1"/>
      <c r="B93" s="1"/>
      <c r="C93" s="1"/>
    </row>
    <row r="94" ht="14.25">
      <c r="A94" s="1"/>
      <c r="B94" s="1"/>
      <c r="C94" s="1"/>
    </row>
    <row r="95" ht="14.25">
      <c r="A95" s="1"/>
      <c r="B95" s="1"/>
      <c r="C95" s="1"/>
    </row>
    <row r="96" ht="14.25">
      <c r="A96" s="1"/>
      <c r="B96" s="1"/>
      <c r="C96" s="1"/>
    </row>
    <row r="97" ht="14.25">
      <c r="A97" s="1"/>
    </row>
    <row r="98" ht="14.25">
      <c r="A98" s="1"/>
    </row>
    <row r="99" ht="14.25">
      <c r="A99" s="1"/>
    </row>
    <row r="100" ht="14.25">
      <c r="A100" s="1"/>
    </row>
    <row r="101" ht="14.25">
      <c r="A101" s="1"/>
    </row>
    <row r="102" ht="14.25">
      <c r="A102" s="1"/>
    </row>
    <row r="103" ht="14.25">
      <c r="A103" s="1"/>
    </row>
    <row r="104" ht="14.25">
      <c r="A104" s="1"/>
    </row>
    <row r="105" ht="14.25">
      <c r="A105" s="1"/>
    </row>
    <row r="106" ht="14.25">
      <c r="A106" s="1"/>
    </row>
    <row r="107" ht="14.25">
      <c r="A107" s="1"/>
    </row>
    <row r="108" ht="14.25">
      <c r="A108" s="1"/>
    </row>
    <row r="109" ht="14.25">
      <c r="A109" s="1"/>
    </row>
    <row r="110" ht="14.25">
      <c r="A110" s="1"/>
    </row>
    <row r="111" ht="14.25">
      <c r="A111" s="1"/>
    </row>
    <row r="112" ht="14.25">
      <c r="A112" s="1"/>
    </row>
    <row r="113" ht="14.25">
      <c r="A113" s="1"/>
    </row>
    <row r="114" ht="14.25">
      <c r="A114" s="1"/>
    </row>
    <row r="115" ht="14.25">
      <c r="A115" s="1"/>
    </row>
    <row r="116" ht="14.25">
      <c r="A116" s="1"/>
    </row>
    <row r="117" ht="14.25">
      <c r="A117" s="1"/>
    </row>
    <row r="118" ht="14.25">
      <c r="A118" s="1"/>
    </row>
    <row r="119" ht="14.25">
      <c r="A119" s="1"/>
    </row>
    <row r="120" ht="14.25">
      <c r="A120" s="1"/>
    </row>
    <row r="122" ht="14.25">
      <c r="A122" s="1"/>
    </row>
    <row r="123" ht="14.25">
      <c r="A123" s="1"/>
    </row>
    <row r="124" ht="14.25">
      <c r="A124" s="1"/>
    </row>
    <row r="125" ht="14.25">
      <c r="A125" s="1"/>
    </row>
    <row r="126" ht="14.25">
      <c r="A126" s="1"/>
    </row>
    <row r="127" ht="14.25">
      <c r="A127" s="1"/>
    </row>
    <row r="128" ht="14.25">
      <c r="A128" s="1"/>
    </row>
    <row r="129" ht="14.25">
      <c r="A129" s="1"/>
    </row>
    <row r="130" ht="14.25">
      <c r="A130" s="1"/>
    </row>
    <row r="131" ht="14.25">
      <c r="A131" s="1"/>
    </row>
    <row r="132" ht="14.25">
      <c r="A132" s="1"/>
    </row>
    <row r="133" ht="14.25">
      <c r="A133" s="1"/>
    </row>
    <row r="134" ht="14.25">
      <c r="A134" s="1"/>
    </row>
    <row r="135" ht="14.25">
      <c r="A135" s="1"/>
    </row>
    <row r="136" ht="14.25">
      <c r="A136" s="1"/>
    </row>
    <row r="137" ht="14.25">
      <c r="A137" s="1"/>
    </row>
    <row r="138" ht="14.25">
      <c r="A138" s="1"/>
    </row>
    <row r="139" ht="14.25">
      <c r="A139" s="1"/>
    </row>
    <row r="140" ht="14.25">
      <c r="A140" s="1"/>
    </row>
    <row r="141" ht="14.25">
      <c r="A141" s="1"/>
    </row>
    <row r="142" ht="14.25">
      <c r="A142" s="1"/>
    </row>
    <row r="143" ht="14.25">
      <c r="A143" s="1"/>
    </row>
    <row r="144" ht="14.25">
      <c r="A144" s="1"/>
    </row>
    <row r="145" ht="14.25">
      <c r="A145" s="1"/>
    </row>
    <row r="146" ht="14.25">
      <c r="A146" s="1"/>
    </row>
    <row r="147" ht="14.25">
      <c r="A147" s="1"/>
    </row>
    <row r="148" ht="14.25">
      <c r="A148" s="1"/>
    </row>
    <row r="149" ht="14.25">
      <c r="A149" s="1"/>
    </row>
    <row r="150" ht="14.25">
      <c r="A150" s="1"/>
    </row>
    <row r="151" ht="14.25">
      <c r="A151" s="1"/>
    </row>
    <row r="152" ht="14.25">
      <c r="A152" s="1"/>
    </row>
    <row r="153" ht="14.25">
      <c r="A153" s="1"/>
    </row>
    <row r="154" ht="14.25">
      <c r="A154" s="1"/>
    </row>
    <row r="155" ht="14.25">
      <c r="A155" s="1"/>
    </row>
    <row r="156" ht="14.25">
      <c r="A156" s="1"/>
    </row>
    <row r="157" ht="14.25">
      <c r="A157" s="1"/>
    </row>
    <row r="158" ht="14.25">
      <c r="A158" s="1"/>
    </row>
    <row r="159" ht="14.25">
      <c r="A159" s="1"/>
    </row>
    <row r="160" ht="14.25">
      <c r="A160" s="1"/>
    </row>
    <row r="161" ht="14.25">
      <c r="A161" s="1"/>
    </row>
    <row r="162" ht="14.25">
      <c r="A162" s="1"/>
    </row>
    <row r="163" ht="14.25">
      <c r="A163" s="1"/>
    </row>
    <row r="164" ht="14.25">
      <c r="A164" s="1"/>
    </row>
    <row r="165" ht="14.25">
      <c r="A165" s="1"/>
    </row>
    <row r="167" ht="14.25">
      <c r="A167" s="1"/>
    </row>
    <row r="168" ht="14.25">
      <c r="A168" s="1"/>
    </row>
    <row r="169" ht="14.25">
      <c r="A169" s="1"/>
    </row>
    <row r="170" ht="14.25">
      <c r="A170" s="1"/>
    </row>
    <row r="171" ht="14.25">
      <c r="A171" s="1"/>
    </row>
    <row r="172" ht="14.25">
      <c r="A172" s="1"/>
    </row>
    <row r="173" ht="14.25">
      <c r="A173" s="1"/>
    </row>
    <row r="174" ht="14.25">
      <c r="A174" s="1"/>
    </row>
    <row r="175" ht="14.25">
      <c r="A175" s="1"/>
    </row>
    <row r="176" ht="14.25">
      <c r="A176" s="1"/>
    </row>
    <row r="177" ht="14.25">
      <c r="A177" s="1"/>
    </row>
    <row r="178" ht="14.25">
      <c r="A178" s="1"/>
    </row>
    <row r="179" ht="14.25">
      <c r="A179" s="1"/>
    </row>
    <row r="180" ht="14.25">
      <c r="A180" s="1"/>
    </row>
    <row r="181" ht="14.25">
      <c r="A181" s="1"/>
    </row>
    <row r="182" ht="14.25">
      <c r="A182" s="1"/>
    </row>
    <row r="183" ht="14.25">
      <c r="A183" s="1"/>
    </row>
    <row r="184" ht="14.25">
      <c r="A184" s="1"/>
    </row>
    <row r="185" ht="14.25">
      <c r="A185" s="1"/>
    </row>
    <row r="186" ht="14.25">
      <c r="A186" s="1"/>
    </row>
    <row r="187" ht="14.25">
      <c r="A187" s="1"/>
    </row>
    <row r="188" ht="14.25">
      <c r="A188" s="1"/>
    </row>
    <row r="189" ht="14.25">
      <c r="A189" s="1"/>
    </row>
    <row r="190" ht="14.25">
      <c r="A190" s="1"/>
    </row>
    <row r="191" ht="14.25">
      <c r="A191" s="1"/>
    </row>
    <row r="192" ht="14.25">
      <c r="A192" s="1"/>
    </row>
    <row r="193" ht="14.25">
      <c r="A193" s="1"/>
    </row>
    <row r="194" ht="14.25">
      <c r="A194" s="1"/>
    </row>
    <row r="195" ht="14.25">
      <c r="A195" s="1"/>
    </row>
    <row r="196" ht="14.25">
      <c r="A196" s="1"/>
    </row>
    <row r="198" ht="14.25">
      <c r="A198" s="1"/>
    </row>
    <row r="199" ht="14.25">
      <c r="A199" s="1"/>
    </row>
    <row r="200" ht="14.25">
      <c r="A200" s="1"/>
    </row>
    <row r="201" ht="14.25">
      <c r="A201" s="1"/>
    </row>
    <row r="202" ht="14.25">
      <c r="A202" s="1"/>
    </row>
    <row r="203" ht="14.25">
      <c r="A203" s="1"/>
    </row>
    <row r="204" ht="14.25">
      <c r="A204" s="1"/>
    </row>
    <row r="205" ht="14.25">
      <c r="A205" s="1"/>
    </row>
    <row r="206" ht="14.25">
      <c r="A206" s="1"/>
    </row>
    <row r="207" ht="14.25">
      <c r="A207" s="1"/>
    </row>
    <row r="208" ht="14.25">
      <c r="A208" s="1"/>
    </row>
    <row r="209" ht="14.25">
      <c r="A209" s="1"/>
    </row>
    <row r="210" ht="14.25">
      <c r="A210" s="1"/>
    </row>
    <row r="211" ht="14.25">
      <c r="A211" s="1"/>
    </row>
    <row r="212" ht="14.25">
      <c r="A212" s="1"/>
    </row>
    <row r="213" ht="14.25">
      <c r="A213" s="1"/>
    </row>
    <row r="214" ht="14.25">
      <c r="A214" s="1"/>
    </row>
    <row r="215" ht="14.25">
      <c r="A215" s="1"/>
    </row>
    <row r="216" ht="14.25">
      <c r="A216" s="1"/>
    </row>
    <row r="217" ht="14.25">
      <c r="A217" s="1"/>
    </row>
    <row r="218" ht="14.25">
      <c r="A218" s="1"/>
    </row>
    <row r="219" ht="14.25">
      <c r="A219" s="1"/>
    </row>
    <row r="220" ht="14.25">
      <c r="A220" s="1"/>
    </row>
    <row r="221" ht="14.25">
      <c r="A221" s="1"/>
    </row>
    <row r="222" ht="14.25">
      <c r="A222" s="1"/>
    </row>
    <row r="223" ht="14.25">
      <c r="A223" s="1"/>
    </row>
    <row r="224" ht="14.25">
      <c r="A224" s="1"/>
    </row>
    <row r="225" ht="14.25">
      <c r="A225" s="1"/>
    </row>
    <row r="226" ht="14.25">
      <c r="A226" s="1"/>
    </row>
    <row r="227" ht="14.25">
      <c r="A227" s="1"/>
    </row>
    <row r="228" ht="14.25">
      <c r="A228" s="1"/>
    </row>
    <row r="229" ht="14.25">
      <c r="A229" s="1"/>
    </row>
    <row r="230" ht="14.25">
      <c r="A230" s="1"/>
    </row>
    <row r="231" ht="14.25">
      <c r="A231" s="1"/>
    </row>
    <row r="232" ht="14.25">
      <c r="A232" s="1"/>
    </row>
    <row r="233" ht="14.25">
      <c r="A233" s="1"/>
    </row>
    <row r="234" ht="14.25">
      <c r="A234" s="1"/>
    </row>
    <row r="236" ht="14.25">
      <c r="A236" s="1"/>
    </row>
    <row r="237" ht="14.25">
      <c r="A237" s="1"/>
    </row>
    <row r="238" ht="14.25">
      <c r="A238" s="1"/>
    </row>
    <row r="239" ht="14.25">
      <c r="A239" s="1"/>
    </row>
    <row r="240" ht="14.25">
      <c r="A240" s="1"/>
    </row>
    <row r="241" ht="14.25">
      <c r="A241" s="1"/>
    </row>
    <row r="242" ht="14.25">
      <c r="A242" s="1"/>
    </row>
    <row r="243" ht="14.25">
      <c r="A243" s="1"/>
    </row>
    <row r="244" ht="14.25">
      <c r="A244" s="1"/>
    </row>
    <row r="245" ht="14.25">
      <c r="A245" s="1"/>
    </row>
    <row r="246" ht="14.25">
      <c r="A246" s="1"/>
    </row>
    <row r="247" ht="14.25">
      <c r="A247" s="1"/>
    </row>
    <row r="248" ht="14.25">
      <c r="A248" s="1"/>
    </row>
    <row r="249" ht="14.25">
      <c r="A249" s="1"/>
    </row>
    <row r="250" ht="14.25">
      <c r="A250" s="1"/>
    </row>
    <row r="251" ht="14.25">
      <c r="A251" s="1"/>
    </row>
    <row r="252" ht="14.25">
      <c r="A252" s="1"/>
    </row>
    <row r="253" ht="14.25">
      <c r="A253" s="1"/>
    </row>
    <row r="254" ht="14.25">
      <c r="A254" s="1"/>
    </row>
    <row r="255" ht="14.25">
      <c r="A255" s="1"/>
    </row>
    <row r="256" ht="14.25">
      <c r="A256" s="1"/>
    </row>
    <row r="257" ht="14.25">
      <c r="A257" s="1"/>
    </row>
    <row r="258" ht="14.25">
      <c r="A258" s="1"/>
    </row>
    <row r="259" ht="14.25">
      <c r="A259" s="1"/>
    </row>
    <row r="260" ht="14.25">
      <c r="A260" s="1"/>
    </row>
    <row r="261" ht="14.25">
      <c r="A261" s="1"/>
    </row>
    <row r="262" ht="14.25">
      <c r="A262" s="1"/>
    </row>
    <row r="263" ht="14.25">
      <c r="A263" s="1"/>
    </row>
    <row r="264" ht="14.25">
      <c r="A264" s="1"/>
    </row>
    <row r="265" ht="14.25">
      <c r="A265" s="1"/>
    </row>
    <row r="266" ht="14.25">
      <c r="A266" s="1"/>
    </row>
    <row r="267" ht="14.25">
      <c r="A267" s="1"/>
    </row>
    <row r="268" ht="14.25">
      <c r="A268" s="1"/>
    </row>
    <row r="269" ht="14.25">
      <c r="A269" s="1"/>
    </row>
    <row r="270" ht="14.25">
      <c r="A270" s="1"/>
    </row>
    <row r="271" ht="14.25">
      <c r="A271" s="1"/>
    </row>
    <row r="272" ht="14.25">
      <c r="A272" s="1"/>
    </row>
    <row r="274" ht="14.25">
      <c r="A274" s="1"/>
    </row>
    <row r="275" ht="14.25">
      <c r="A275" s="1"/>
    </row>
    <row r="276" ht="14.25">
      <c r="A276" s="1"/>
    </row>
    <row r="277" ht="14.25">
      <c r="A277" s="1"/>
    </row>
    <row r="278" ht="14.25">
      <c r="A278" s="1"/>
    </row>
    <row r="279" ht="14.25">
      <c r="A279" s="1"/>
    </row>
    <row r="280" ht="14.25">
      <c r="A280" s="1"/>
    </row>
    <row r="281" ht="14.25">
      <c r="A281" s="1"/>
    </row>
    <row r="282" ht="14.25">
      <c r="A282" s="1"/>
    </row>
    <row r="283" ht="14.25">
      <c r="A283" s="1"/>
    </row>
    <row r="284" ht="14.25">
      <c r="A284" s="1"/>
    </row>
    <row r="285" ht="14.25">
      <c r="A285" s="1"/>
    </row>
    <row r="286" ht="14.25">
      <c r="A286" s="1"/>
    </row>
    <row r="287" ht="14.25">
      <c r="A287" s="1"/>
    </row>
    <row r="288" ht="14.25">
      <c r="A288" s="1"/>
    </row>
    <row r="289" ht="14.25">
      <c r="A289" s="1"/>
    </row>
    <row r="290" ht="14.25">
      <c r="A290" s="1"/>
    </row>
    <row r="291" ht="14.25">
      <c r="A291" s="1"/>
    </row>
    <row r="292" ht="14.25">
      <c r="A292" s="1"/>
    </row>
    <row r="293" ht="14.25">
      <c r="A293" s="1"/>
    </row>
    <row r="294" ht="14.25">
      <c r="A294" s="1"/>
    </row>
    <row r="295" ht="14.25">
      <c r="A295" s="1"/>
    </row>
    <row r="296" ht="14.25">
      <c r="A296" s="1"/>
    </row>
    <row r="297" ht="14.25">
      <c r="A297" s="1"/>
    </row>
    <row r="298" ht="14.25">
      <c r="A298" s="1"/>
    </row>
    <row r="299" ht="14.25">
      <c r="A299" s="1"/>
    </row>
    <row r="300" ht="14.25">
      <c r="A300" s="1"/>
    </row>
    <row r="301" ht="14.25">
      <c r="A301" s="1"/>
    </row>
    <row r="302" ht="14.25">
      <c r="A302" s="1"/>
    </row>
    <row r="303" ht="14.25">
      <c r="A303" s="1"/>
    </row>
    <row r="304" ht="14.25">
      <c r="A304" s="1"/>
    </row>
    <row r="305" ht="14.25">
      <c r="A305" s="1"/>
    </row>
    <row r="306" ht="14.25">
      <c r="A306" s="1"/>
    </row>
    <row r="307" ht="14.25">
      <c r="A307" s="1"/>
    </row>
    <row r="308" ht="14.25">
      <c r="A308" s="1"/>
    </row>
    <row r="309" ht="14.25">
      <c r="A309" s="1"/>
    </row>
    <row r="310" ht="14.25">
      <c r="A310" s="1"/>
    </row>
    <row r="312" ht="14.25">
      <c r="A312" s="1"/>
    </row>
    <row r="313" ht="14.25">
      <c r="A313" s="1"/>
    </row>
    <row r="314" ht="14.25">
      <c r="A314" s="1"/>
    </row>
    <row r="315" ht="14.25">
      <c r="A315" s="1"/>
    </row>
    <row r="316" ht="14.25">
      <c r="A316" s="1"/>
    </row>
    <row r="317" ht="14.25">
      <c r="A317" s="1"/>
    </row>
    <row r="318" ht="14.25">
      <c r="A318" s="1"/>
    </row>
    <row r="319" ht="14.25">
      <c r="A319" s="1"/>
    </row>
    <row r="320" ht="14.25">
      <c r="A320" s="1"/>
    </row>
    <row r="321" ht="14.25">
      <c r="A321" s="1"/>
    </row>
    <row r="322" ht="14.25">
      <c r="A322" s="1"/>
    </row>
    <row r="323" ht="14.25">
      <c r="A323" s="1"/>
    </row>
    <row r="324" ht="14.25">
      <c r="A324" s="1"/>
    </row>
    <row r="325" ht="14.25">
      <c r="A325" s="1"/>
    </row>
    <row r="326" ht="14.25">
      <c r="A326" s="1"/>
    </row>
    <row r="327" ht="14.25">
      <c r="A327" s="1"/>
    </row>
    <row r="328" ht="14.25">
      <c r="A328" s="1"/>
    </row>
    <row r="329" ht="14.25">
      <c r="A329" s="1"/>
    </row>
    <row r="330" ht="14.25">
      <c r="A330" s="1"/>
    </row>
    <row r="331" ht="14.25">
      <c r="A331" s="1"/>
    </row>
    <row r="332" ht="14.25">
      <c r="A332" s="1"/>
    </row>
    <row r="333" ht="14.25">
      <c r="A333" s="1"/>
    </row>
    <row r="334" ht="14.25">
      <c r="A334" s="1"/>
    </row>
    <row r="335" ht="14.25">
      <c r="A335" s="1"/>
    </row>
    <row r="336" ht="14.25">
      <c r="A336" s="1"/>
    </row>
    <row r="337" ht="14.25">
      <c r="A337" s="1"/>
    </row>
    <row r="338" ht="14.25">
      <c r="A338" s="1"/>
    </row>
    <row r="339" ht="14.25">
      <c r="A339" s="1"/>
    </row>
    <row r="340" ht="14.25">
      <c r="A340" s="1"/>
    </row>
    <row r="341" ht="14.25">
      <c r="A341" s="1"/>
    </row>
    <row r="342" ht="14.25">
      <c r="A342" s="1"/>
    </row>
    <row r="343" ht="14.25">
      <c r="A343" s="1"/>
    </row>
    <row r="344" ht="14.25">
      <c r="A344" s="1"/>
    </row>
    <row r="345" ht="14.25">
      <c r="A345" s="1"/>
    </row>
    <row r="346" ht="14.25">
      <c r="A346" s="1"/>
    </row>
    <row r="347" ht="14.25">
      <c r="A347" s="1"/>
    </row>
    <row r="348" ht="14.25">
      <c r="A348" s="1"/>
    </row>
  </sheetData>
  <mergeCells count="2">
    <mergeCell ref="K2:M2"/>
    <mergeCell ref="A40:G40"/>
  </mergeCells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7</cp:revision>
  <dcterms:modified xsi:type="dcterms:W3CDTF">2026-06-08T05:14:59Z</dcterms:modified>
</cp:coreProperties>
</file>
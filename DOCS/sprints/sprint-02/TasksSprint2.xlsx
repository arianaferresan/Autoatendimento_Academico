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theme/theme1.xml" ContentType="application/vnd.openxmlformats-officedocument.theme+xml"/>
  <Override PartName="/xl/charts/style1.xml" ContentType="application/vnd.ms-office.chartstyl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print 2" sheetId="1" state="visible" r:id="rId1"/>
    <sheet name="Sprint 3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<sst xmlns="http://schemas.openxmlformats.org/spreadsheetml/2006/main" count="176" uniqueCount="176">
  <si>
    <t>ID</t>
  </si>
  <si>
    <t>Backlog</t>
  </si>
  <si>
    <t>Descrição</t>
  </si>
  <si>
    <t>Autor(es)</t>
  </si>
  <si>
    <t>Status</t>
  </si>
  <si>
    <t xml:space="preserve">Criterio de aceite</t>
  </si>
  <si>
    <t>Pontuação</t>
  </si>
  <si>
    <t>DT-CONCLUSÂO</t>
  </si>
  <si>
    <t>BD01.1</t>
  </si>
  <si>
    <t>BD01</t>
  </si>
  <si>
    <t xml:space="preserve">Estruturar documentos</t>
  </si>
  <si>
    <t xml:space="preserve">William, Lucas</t>
  </si>
  <si>
    <t>Pendente</t>
  </si>
  <si>
    <t xml:space="preserve">Respostas com vinculo persistido a evidencias documentais.</t>
  </si>
  <si>
    <t>BURNDOWN</t>
  </si>
  <si>
    <t>BD01.2</t>
  </si>
  <si>
    <t xml:space="preserve">Estruturar metadados</t>
  </si>
  <si>
    <t>Data</t>
  </si>
  <si>
    <t xml:space="preserve">Esforço Ideal</t>
  </si>
  <si>
    <t xml:space="preserve">Esforço Real</t>
  </si>
  <si>
    <t>BD03.1</t>
  </si>
  <si>
    <t>BD03</t>
  </si>
  <si>
    <t xml:space="preserve">Revisar modelagem relacional do dominio</t>
  </si>
  <si>
    <t xml:space="preserve">Modelo cobrindo navegacao, respostas, usuarios, duvidas, logs, documentos e metadados.</t>
  </si>
  <si>
    <t>BD03.2</t>
  </si>
  <si>
    <t xml:space="preserve">Ampliar seed do banco com base no Desafio.pdf</t>
  </si>
  <si>
    <t>William</t>
  </si>
  <si>
    <t xml:space="preserve">Seed suficiente para demonstrar o fluxo publico real.</t>
  </si>
  <si>
    <t>DW01.1.1</t>
  </si>
  <si>
    <t>DW01</t>
  </si>
  <si>
    <t xml:space="preserve">Revisão/remodelagem de protótipos</t>
  </si>
  <si>
    <t>Pedro</t>
  </si>
  <si>
    <t>Andamento</t>
  </si>
  <si>
    <t>DW01.1.2</t>
  </si>
  <si>
    <t xml:space="preserve">Página da tela inicial</t>
  </si>
  <si>
    <t>Concluido</t>
  </si>
  <si>
    <t>DW01.1.3</t>
  </si>
  <si>
    <t>Chatbot</t>
  </si>
  <si>
    <t>DW01.1.4</t>
  </si>
  <si>
    <t xml:space="preserve">Página administrativa</t>
  </si>
  <si>
    <t>DW01.1.5</t>
  </si>
  <si>
    <t xml:space="preserve">Página de login</t>
  </si>
  <si>
    <t>DW02</t>
  </si>
  <si>
    <t xml:space="preserve">Substituir navegacao mockada por API</t>
  </si>
  <si>
    <t xml:space="preserve">Eloah, William</t>
  </si>
  <si>
    <t xml:space="preserve">Menus e submenus vindo do backend e banco.</t>
  </si>
  <si>
    <t>DW05</t>
  </si>
  <si>
    <t xml:space="preserve">Exibir evidencias documentais no fluxo publico</t>
  </si>
  <si>
    <t xml:space="preserve">Documento, pagina e secao ou ancora visiveis quando houver vinculo.</t>
  </si>
  <si>
    <t>DW07</t>
  </si>
  <si>
    <t xml:space="preserve">Reorganizar frontend para integracao real</t>
  </si>
  <si>
    <t>Eloah</t>
  </si>
  <si>
    <t xml:space="preserve">Separacao mais clara entre interface, hooks, services, types e estado.</t>
  </si>
  <si>
    <t>DW08.1.1</t>
  </si>
  <si>
    <t>DW08</t>
  </si>
  <si>
    <t xml:space="preserve">Implementar tela de email</t>
  </si>
  <si>
    <t xml:space="preserve">Desenvolver página de email.</t>
  </si>
  <si>
    <t>DW08.1.2</t>
  </si>
  <si>
    <t xml:space="preserve">Implementar Frontend</t>
  </si>
  <si>
    <t>DW08.1.3</t>
  </si>
  <si>
    <t xml:space="preserve">Implementar Backend</t>
  </si>
  <si>
    <t>Validação</t>
  </si>
  <si>
    <t>ES01.1</t>
  </si>
  <si>
    <t>ES01</t>
  </si>
  <si>
    <t xml:space="preserve">Revisar README principal</t>
  </si>
  <si>
    <t>Luiza</t>
  </si>
  <si>
    <t xml:space="preserve">README com contexto do desafio, objetivo, arquitetura, estrutura real, execucao, build, containers, variaveis de ambiente e links corretos.</t>
  </si>
  <si>
    <t>ES01.2</t>
  </si>
  <si>
    <t xml:space="preserve">Revisar indice da documentacao</t>
  </si>
  <si>
    <t xml:space="preserve">Indice coerente com produto, processo, sprints, diagramas, referencias e modulos da aplicacao.</t>
  </si>
  <si>
    <t>ES01.3</t>
  </si>
  <si>
    <t xml:space="preserve">Revisar referencias e anexos</t>
  </si>
  <si>
    <t xml:space="preserve">Documentos base explicados sem caminhos antigos ou confusos.</t>
  </si>
  <si>
    <t>ES01.4</t>
  </si>
  <si>
    <t xml:space="preserve">Revisar indice dos diagramas</t>
  </si>
  <si>
    <t xml:space="preserve">Status dos diagramas alinhado com a rubrica da Sprint 2.</t>
  </si>
  <si>
    <t>ES01.5</t>
  </si>
  <si>
    <t xml:space="preserve">Validar DoD do produto</t>
  </si>
  <si>
    <t xml:space="preserve">DoD mantido como criterio do produto, com nota clara sobre slice parcial e carry-over.</t>
  </si>
  <si>
    <t>ES01.6</t>
  </si>
  <si>
    <t xml:space="preserve">Revisar backlog do produto</t>
  </si>
  <si>
    <t xml:space="preserve">Itens ligados aos requisitos do desafio com prioridades e dependencias coerentes.</t>
  </si>
  <si>
    <t>ES01.7</t>
  </si>
  <si>
    <t xml:space="preserve">Revisar backlog detalhado</t>
  </si>
  <si>
    <t xml:space="preserve">DoR e DoD claros e dependencias explicitas entre banco, API, frontend e seguranca.</t>
  </si>
  <si>
    <t>ES01.8</t>
  </si>
  <si>
    <t xml:space="preserve">Fechar retrospectiva da Sprint 1</t>
  </si>
  <si>
    <t xml:space="preserve">Sprint 1 com registro honesto do mock, gaps do DoD e carry-over.</t>
  </si>
  <si>
    <t>ES01.9</t>
  </si>
  <si>
    <t xml:space="preserve">Fechar backlog final da Sprint 2</t>
  </si>
  <si>
    <t xml:space="preserve">Sprint 2 reposicionada para integracao real, persistencia, seguranca minima, Docker e documentacao.</t>
  </si>
  <si>
    <t>ES01.10</t>
  </si>
  <si>
    <t xml:space="preserve">Reorganizar escopo da Sprint 3</t>
  </si>
  <si>
    <t xml:space="preserve">Sprint 3 focada em area interna, operacao administrativa e refinamentos finais.</t>
  </si>
  <si>
    <t>ES01.11</t>
  </si>
  <si>
    <t xml:space="preserve">Validar READMEs das pastas principais</t>
  </si>
  <si>
    <t xml:space="preserve">Cada pasta principal com responsabilidade e organizacao interna explicadas.</t>
  </si>
  <si>
    <t>ES01.12</t>
  </si>
  <si>
    <t xml:space="preserve">Definir convencao minima de branches e commits</t>
  </si>
  <si>
    <t>Felipe</t>
  </si>
  <si>
    <t xml:space="preserve">Time usando main, develop, feature/*, fix/* e docs/* com mensagens de commit claras.</t>
  </si>
  <si>
    <t>ES01.13</t>
  </si>
  <si>
    <t xml:space="preserve">Quebrar backlog da Sprint 2 em tasks rastreaveis</t>
  </si>
  <si>
    <t xml:space="preserve">Cada item da sprint com responsavel, status e vinculo ao backlog do produto.</t>
  </si>
  <si>
    <t>ES01.14</t>
  </si>
  <si>
    <t xml:space="preserve">Consolidar burndown e evidencias de colaboracao da Sprint 2</t>
  </si>
  <si>
    <t xml:space="preserve">Burndown e evidencias preparados para a avaliacao final da sprint.</t>
  </si>
  <si>
    <t>ES01.15</t>
  </si>
  <si>
    <t xml:space="preserve">Rodar checklist final da rubrica da Sprint 2</t>
  </si>
  <si>
    <t xml:space="preserve">Felipe, Luiza</t>
  </si>
  <si>
    <t xml:space="preserve">Checklist revisado antes da entrega final, sem item critico sem dono.</t>
  </si>
  <si>
    <t>ES01.16</t>
  </si>
  <si>
    <t xml:space="preserve">Revisar diagrama de Casos de Uso</t>
  </si>
  <si>
    <t>Ariana</t>
  </si>
  <si>
    <t xml:space="preserve">Escopo, atores e relacionamentos coerentes.</t>
  </si>
  <si>
    <t>ES01.17.1</t>
  </si>
  <si>
    <t xml:space="preserve">Produzir diagramas</t>
  </si>
  <si>
    <t xml:space="preserve">Produzir diagramas conforme especificações da Sprint 2.</t>
  </si>
  <si>
    <t>ES01.17.2</t>
  </si>
  <si>
    <t xml:space="preserve">Produzir diagrama de Classes</t>
  </si>
  <si>
    <t xml:space="preserve">Classes ou entidades alinhadas ao dominio e arquitetura.</t>
  </si>
  <si>
    <t>ES01.17.3</t>
  </si>
  <si>
    <t xml:space="preserve">Produzir diagrama de Sequencia</t>
  </si>
  <si>
    <t xml:space="preserve">Fluxo principal do atendimento publico representado ponta a ponta.</t>
  </si>
  <si>
    <t>ES01.17.4</t>
  </si>
  <si>
    <t xml:space="preserve">Produzir diagrama de Componentes</t>
  </si>
  <si>
    <t xml:space="preserve">Frontend, backend, banco e integracoes representados corretamente.</t>
  </si>
  <si>
    <t>TP01</t>
  </si>
  <si>
    <t xml:space="preserve">Definir perfis de acesso do sistema</t>
  </si>
  <si>
    <t>Lucas</t>
  </si>
  <si>
    <t xml:space="preserve">Formalizar os perfis Secretaria Acadêmica e Administrador.</t>
  </si>
  <si>
    <t>TP04</t>
  </si>
  <si>
    <t xml:space="preserve">Persistir envio de duvidas</t>
  </si>
  <si>
    <t xml:space="preserve">Formulario envia, banco grava e usuario recebe confirmacao.</t>
  </si>
  <si>
    <t>TP06.1.1</t>
  </si>
  <si>
    <t>TP06</t>
  </si>
  <si>
    <t xml:space="preserve">Implementar login com JWT e Bearer Token</t>
  </si>
  <si>
    <t xml:space="preserve">Autenticacao funcionando com token contendo usuario, papel e expiracao.</t>
  </si>
  <si>
    <t>TP06.1.2</t>
  </si>
  <si>
    <t xml:space="preserve">Criação de Middleware para proteção de rotas</t>
  </si>
  <si>
    <t xml:space="preserve">Middleware criado corretamente para a proteção de rotas administrativas.</t>
  </si>
  <si>
    <t>TP06.2</t>
  </si>
  <si>
    <t xml:space="preserve">Proteger rotas administrativas</t>
  </si>
  <si>
    <t xml:space="preserve">Middleware bloqueando acesso sem token ou com papel incorreto.</t>
  </si>
  <si>
    <t>TP07.1.1</t>
  </si>
  <si>
    <t>TP07</t>
  </si>
  <si>
    <t xml:space="preserve">Refatorar backend para arquitetura em camadas</t>
  </si>
  <si>
    <t xml:space="preserve">Lucas, William</t>
  </si>
  <si>
    <t xml:space="preserve">Uso claro de routes, controllers, services, repositories e middlewares.</t>
  </si>
  <si>
    <t>TP07.1.2</t>
  </si>
  <si>
    <t>Login</t>
  </si>
  <si>
    <t>TP07.1.3</t>
  </si>
  <si>
    <t>Geral</t>
  </si>
  <si>
    <t>TP07.2.1</t>
  </si>
  <si>
    <t xml:space="preserve">Padronização de rotas</t>
  </si>
  <si>
    <t xml:space="preserve">Corrigir rotas com nomenclatura coerente.</t>
  </si>
  <si>
    <t>TP07.2.2</t>
  </si>
  <si>
    <t>TP07.2.3</t>
  </si>
  <si>
    <t>TP08.1</t>
  </si>
  <si>
    <t>TP08</t>
  </si>
  <si>
    <t xml:space="preserve">Criar .env.example</t>
  </si>
  <si>
    <t xml:space="preserve">Variaveis minimas documentadas para backend, banco e compose.</t>
  </si>
  <si>
    <t>TP08.2</t>
  </si>
  <si>
    <t xml:space="preserve">Completar docker-compose.yml</t>
  </si>
  <si>
    <t xml:space="preserve">William, Eloah</t>
  </si>
  <si>
    <t xml:space="preserve">PostgreSQL, backend e frontend sobem com comando unico.</t>
  </si>
  <si>
    <t>TP08.3</t>
  </si>
  <si>
    <t xml:space="preserve">Validar execucao integrada do ambiente</t>
  </si>
  <si>
    <t xml:space="preserve">Docker compose up --build funcionando sem falha grave.</t>
  </si>
  <si>
    <t>TP09</t>
  </si>
  <si>
    <t xml:space="preserve">Aplicar hash seguro e proteger dados sensiveis</t>
  </si>
  <si>
    <t xml:space="preserve">Senhas com hash e sem credenciais hardcoded no codigo.</t>
  </si>
  <si>
    <t>TOTAL</t>
  </si>
  <si>
    <t>BD02</t>
  </si>
  <si>
    <t xml:space="preserve">Persistir logs de navegacao e satisfacao</t>
  </si>
  <si>
    <t xml:space="preserve">Logs salvos no PostgreSQL sem depender de memoria ou frontend.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</si>
</sst>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d/mm;@"/>
    <numFmt numFmtId="165" formatCode="dd-mmm"/>
  </numFmts>
  <fonts count="9">
    <font>
      <sz val="11.000000"/>
      <color theme="1"/>
      <name val="Calibri"/>
      <scheme val="minor"/>
    </font>
    <font>
      <sz val="14.000000"/>
      <color theme="1"/>
      <name val="Calibri"/>
      <scheme val="minor"/>
    </font>
    <font>
      <sz val="18.000000"/>
      <color theme="1"/>
      <name val="Calibri"/>
      <scheme val="minor"/>
    </font>
    <font>
      <b/>
      <sz val="18.000000"/>
      <color indexed="65"/>
      <name val="Calibri"/>
    </font>
    <font>
      <b/>
      <sz val="18.000000"/>
      <color theme="0" tint="0"/>
      <name val="Calibri"/>
    </font>
    <font>
      <b/>
      <sz val="18.000000"/>
      <color theme="0" tint="0"/>
      <name val="Calibri"/>
      <scheme val="minor"/>
    </font>
    <font>
      <sz val="14.000000"/>
      <name val="Calibri"/>
    </font>
    <font>
      <sz val="14.000000"/>
      <color theme="1"/>
      <name val="Calibri"/>
    </font>
    <font>
      <b/>
      <sz val="20.000000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B99"/>
        <bgColor rgb="FF1F4B99"/>
      </patternFill>
    </fill>
    <fill>
      <patternFill patternType="solid">
        <fgColor rgb="FF1F4B99"/>
      </patternFill>
    </fill>
    <fill>
      <patternFill patternType="solid">
        <fgColor rgb="FFE5E7EB"/>
      </patternFill>
    </fill>
    <fill>
      <patternFill patternType="solid">
        <fgColor indexed="5"/>
        <bgColor indexed="5"/>
      </patternFill>
    </fill>
    <fill>
      <patternFill patternType="solid">
        <fgColor rgb="FFFFE597"/>
        <bgColor rgb="FFFFE597"/>
      </patternFill>
    </fill>
    <fill>
      <patternFill patternType="solid">
        <fgColor rgb="FFD1FAE5"/>
        <bgColor rgb="FFD1FAE5"/>
      </patternFill>
    </fill>
    <fill>
      <patternFill patternType="solid">
        <fgColor rgb="FFB3C6E7"/>
        <bgColor rgb="FFB3C6E7"/>
      </patternFill>
    </fill>
    <fill>
      <patternFill patternType="solid">
        <fgColor rgb="FF92D050"/>
        <bgColor rgb="FF92D050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7">
    <xf fontId="0" fillId="0" borderId="0" numFmtId="0" xfId="0"/>
    <xf fontId="0" fillId="0" borderId="0" numFmtId="0" xfId="0" applyAlignment="1">
      <alignment horizontal="center" vertical="center"/>
    </xf>
    <xf fontId="1" fillId="0" borderId="0" numFmtId="0" xfId="0" applyFont="1" applyAlignment="1">
      <alignment horizontal="center" vertical="center"/>
    </xf>
    <xf fontId="2" fillId="0" borderId="0" numFmtId="0" xfId="0" applyFont="1" applyAlignment="1">
      <alignment horizontal="center" vertical="center"/>
    </xf>
    <xf fontId="3" fillId="2" borderId="1" numFmtId="0" xfId="0" applyFont="1" applyFill="1" applyBorder="1" applyAlignment="1">
      <alignment horizontal="center" vertical="center" wrapText="1"/>
    </xf>
    <xf fontId="3" fillId="3" borderId="1" numFmtId="0" xfId="0" applyFont="1" applyFill="1" applyBorder="1" applyAlignment="1">
      <alignment horizontal="center" vertical="center" wrapText="1"/>
    </xf>
    <xf fontId="4" fillId="3" borderId="1" numFmtId="0" xfId="0" applyFont="1" applyFill="1" applyBorder="1" applyAlignment="1">
      <alignment horizontal="center" vertical="center" wrapText="1"/>
    </xf>
    <xf fontId="5" fillId="2" borderId="1" numFmtId="0" xfId="0" applyFont="1" applyFill="1" applyBorder="1" applyAlignment="1">
      <alignment horizontal="center" vertical="center"/>
    </xf>
    <xf fontId="6" fillId="0" borderId="1" numFmtId="0" xfId="0" applyFont="1" applyBorder="1" applyAlignment="1">
      <alignment horizontal="center" vertical="center" wrapText="1"/>
    </xf>
    <xf fontId="7" fillId="0" borderId="1" numFmtId="0" xfId="0" applyFont="1" applyBorder="1" applyAlignment="1">
      <alignment horizontal="center" vertical="center" wrapText="1"/>
    </xf>
    <xf fontId="7" fillId="4" borderId="1" numFmtId="0" xfId="0" applyFont="1" applyFill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center"/>
    </xf>
    <xf fontId="8" fillId="5" borderId="1" numFmtId="0" xfId="0" applyFont="1" applyFill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1" fillId="0" borderId="1" numFmtId="164" xfId="0" applyNumberFormat="1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1" fillId="0" borderId="1" numFmtId="2" xfId="0" applyNumberFormat="1" applyFont="1" applyBorder="1" applyAlignment="1">
      <alignment horizontal="center" vertical="center"/>
    </xf>
    <xf fontId="6" fillId="6" borderId="1" numFmtId="0" xfId="0" applyFont="1" applyFill="1" applyBorder="1" applyAlignment="1">
      <alignment horizontal="center" vertical="center" wrapText="1"/>
    </xf>
    <xf fontId="1" fillId="6" borderId="1" numFmtId="0" xfId="0" applyFont="1" applyFill="1" applyBorder="1" applyAlignment="1">
      <alignment horizontal="center" vertical="center"/>
    </xf>
    <xf fontId="7" fillId="6" borderId="1" numFmtId="0" xfId="0" applyFont="1" applyFill="1" applyBorder="1" applyAlignment="1">
      <alignment horizontal="center" vertical="center" wrapText="1"/>
    </xf>
    <xf fontId="6" fillId="7" borderId="1" numFmtId="0" xfId="0" applyFont="1" applyFill="1" applyBorder="1" applyAlignment="1">
      <alignment horizontal="center" vertical="center" wrapText="1"/>
    </xf>
    <xf fontId="1" fillId="7" borderId="1" numFmtId="0" xfId="0" applyFont="1" applyFill="1" applyBorder="1" applyAlignment="1">
      <alignment horizontal="center" vertical="center"/>
    </xf>
    <xf fontId="7" fillId="7" borderId="1" numFmtId="0" xfId="0" applyFont="1" applyFill="1" applyBorder="1" applyAlignment="1">
      <alignment horizontal="center" vertical="center" wrapText="1"/>
    </xf>
    <xf fontId="1" fillId="7" borderId="1" numFmtId="165" xfId="0" applyNumberFormat="1" applyFont="1" applyFill="1" applyBorder="1" applyAlignment="1">
      <alignment horizontal="center" vertical="center"/>
    </xf>
    <xf fontId="1" fillId="6" borderId="0" numFmtId="0" xfId="0" applyFont="1" applyFill="1" applyAlignment="1">
      <alignment horizontal="center" vertical="center"/>
    </xf>
    <xf fontId="7" fillId="8" borderId="1" numFmtId="0" xfId="0" applyFont="1" applyFill="1" applyBorder="1" applyAlignment="1">
      <alignment horizontal="center" vertical="center" wrapText="1"/>
    </xf>
    <xf fontId="1" fillId="8" borderId="1" numFmtId="0" xfId="0" applyFont="1" applyFill="1" applyBorder="1" applyAlignment="1">
      <alignment horizontal="center" vertical="center"/>
    </xf>
    <xf fontId="1" fillId="7" borderId="1" numFmtId="16" xfId="0" applyNumberFormat="1" applyFont="1" applyFill="1" applyBorder="1" applyAlignment="1">
      <alignment horizontal="center" vertical="center"/>
    </xf>
    <xf fontId="1" fillId="8" borderId="1" numFmtId="0" xfId="0" applyFont="1" applyFill="1" applyBorder="1" applyAlignment="1">
      <alignment horizontal="center" vertical="center"/>
      <protection hidden="0" locked="1"/>
    </xf>
    <xf fontId="1" fillId="7" borderId="1" numFmtId="0" xfId="0" applyFont="1" applyFill="1" applyBorder="1" applyAlignment="1">
      <alignment horizontal="center" vertical="center"/>
      <protection hidden="0" locked="1"/>
    </xf>
    <xf fontId="1" fillId="0" borderId="1" numFmtId="0" xfId="0" applyFont="1" applyBorder="1" applyAlignment="1">
      <alignment horizontal="center" vertical="center"/>
      <protection hidden="0" locked="1"/>
    </xf>
    <xf fontId="1" fillId="6" borderId="1" numFmtId="0" xfId="0" applyFont="1" applyFill="1" applyBorder="1" applyAlignment="1">
      <alignment horizontal="center" vertical="center"/>
      <protection hidden="0" locked="1"/>
    </xf>
    <xf fontId="6" fillId="8" borderId="1" numFmtId="0" xfId="0" applyFont="1" applyFill="1" applyBorder="1" applyAlignment="1">
      <alignment horizontal="center" vertical="center" wrapText="1"/>
    </xf>
    <xf fontId="7" fillId="6" borderId="0" numFmtId="0" xfId="0" applyFont="1" applyFill="1" applyAlignment="1">
      <alignment horizontal="center" vertical="center" wrapText="1"/>
    </xf>
    <xf fontId="8" fillId="0" borderId="2" numFmtId="0" xfId="0" applyFont="1" applyBorder="1" applyAlignment="1">
      <alignment horizontal="left" vertical="center"/>
    </xf>
    <xf fontId="8" fillId="0" borderId="3" numFmtId="0" xfId="0" applyFont="1" applyBorder="1" applyAlignment="1">
      <alignment horizontal="left" vertical="center"/>
    </xf>
    <xf fontId="8" fillId="0" borderId="4" numFmtId="0" xfId="0" applyFont="1" applyBorder="1" applyAlignment="1">
      <alignment horizontal="left" vertical="center"/>
    </xf>
    <xf fontId="3" fillId="3" borderId="0" numFmtId="0" xfId="0" applyFont="1" applyFill="1" applyAlignment="1">
      <alignment horizontal="center" wrapText="1"/>
    </xf>
    <xf fontId="4" fillId="3" borderId="0" numFmtId="0" xfId="0" applyFont="1" applyFill="1" applyAlignment="1">
      <alignment horizontal="center" wrapText="1"/>
    </xf>
    <xf fontId="5" fillId="2" borderId="0" numFmtId="0" xfId="0" applyFont="1" applyFill="1" applyAlignment="1">
      <alignment horizontal="center"/>
    </xf>
    <xf fontId="2" fillId="0" borderId="0" numFmtId="0" xfId="0" applyFont="1" applyAlignment="1">
      <alignment horizontal="center"/>
    </xf>
    <xf fontId="7" fillId="9" borderId="0" numFmtId="0" xfId="0" applyFont="1" applyFill="1" applyAlignment="1">
      <alignment horizontal="center" wrapText="1"/>
    </xf>
    <xf fontId="7" fillId="0" borderId="0" numFmtId="0" xfId="0" applyFont="1" applyAlignment="1">
      <alignment horizontal="center" wrapText="1"/>
    </xf>
    <xf fontId="6" fillId="0" borderId="0" numFmtId="0" xfId="0" applyFont="1" applyAlignment="1">
      <alignment horizontal="center" wrapText="1"/>
    </xf>
    <xf fontId="7" fillId="4" borderId="0" numFmtId="0" xfId="0" applyFont="1" applyFill="1" applyAlignment="1">
      <alignment horizontal="center" wrapText="1"/>
    </xf>
    <xf fontId="1" fillId="0" borderId="0" numFmtId="0" xfId="0" applyFont="1" applyAlignment="1">
      <alignment horizontal="center"/>
    </xf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Sprint 2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'Sprint 2'!$K$3</c:f>
              <c:strCache>
                <c:ptCount val="1"/>
                <c:pt idx="0">
                  <c:v>Esforço Ideal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/>
            </c:spPr>
          </c:marker>
          <c:cat>
            <c:numRef>
              <c:f>'Sprint 2'!$J$4:$J$22</c:f>
              <c:numCache>
                <c:formatCode>dd/mm;@</c:formatCode>
                <c:ptCount val="19"/>
                <c:pt idx="0">
                  <c:v>46148</c:v>
                </c:pt>
                <c:pt idx="1">
                  <c:v>46149</c:v>
                </c:pt>
                <c:pt idx="2">
                  <c:v>46150</c:v>
                </c:pt>
                <c:pt idx="3">
                  <c:v>46151</c:v>
                </c:pt>
                <c:pt idx="4">
                  <c:v>46152</c:v>
                </c:pt>
                <c:pt idx="5">
                  <c:v>46153</c:v>
                </c:pt>
                <c:pt idx="6">
                  <c:v>46154</c:v>
                </c:pt>
                <c:pt idx="7">
                  <c:v>46155</c:v>
                </c:pt>
                <c:pt idx="8">
                  <c:v>46156</c:v>
                </c:pt>
                <c:pt idx="9">
                  <c:v>46157</c:v>
                </c:pt>
                <c:pt idx="10">
                  <c:v>46158</c:v>
                </c:pt>
                <c:pt idx="11">
                  <c:v>46159</c:v>
                </c:pt>
                <c:pt idx="12">
                  <c:v>46160</c:v>
                </c:pt>
                <c:pt idx="13">
                  <c:v>46161</c:v>
                </c:pt>
                <c:pt idx="14">
                  <c:v>46162</c:v>
                </c:pt>
                <c:pt idx="15">
                  <c:v>46163</c:v>
                </c:pt>
                <c:pt idx="16">
                  <c:v>46164</c:v>
                </c:pt>
                <c:pt idx="17">
                  <c:v>46165</c:v>
                </c:pt>
                <c:pt idx="18">
                  <c:v>46166</c:v>
                </c:pt>
              </c:numCache>
            </c:numRef>
          </c:cat>
          <c:val>
            <c:numRef>
              <c:f>'Sprint 2'!$K$4:$K$22</c:f>
              <c:numCache>
                <c:formatCode>General</c:formatCode>
                <c:ptCount val="19"/>
                <c:pt idx="0" formatCode="General">
                  <c:v>508</c:v>
                </c:pt>
                <c:pt idx="1" formatCode="0.00">
                  <c:v>479.778</c:v>
                </c:pt>
                <c:pt idx="2" formatCode="0.00">
                  <c:v>451.55600000000004</c:v>
                </c:pt>
                <c:pt idx="3" formatCode="0.00">
                  <c:v>423.33400000000006</c:v>
                </c:pt>
                <c:pt idx="4" formatCode="0.00">
                  <c:v>395.1120000000001</c:v>
                </c:pt>
                <c:pt idx="5" formatCode="0.00">
                  <c:v>366.8900000000001</c:v>
                </c:pt>
                <c:pt idx="6" formatCode="0.00">
                  <c:v>338.6680000000001</c:v>
                </c:pt>
                <c:pt idx="7" formatCode="0.00">
                  <c:v>310.44600000000014</c:v>
                </c:pt>
                <c:pt idx="8" formatCode="0.00">
                  <c:v>282.22400000000016</c:v>
                </c:pt>
                <c:pt idx="9" formatCode="0.00">
                  <c:v>254.00200000000015</c:v>
                </c:pt>
                <c:pt idx="10" formatCode="0.00">
                  <c:v>225.78000000000014</c:v>
                </c:pt>
                <c:pt idx="11" formatCode="0.00">
                  <c:v>197.55800000000013</c:v>
                </c:pt>
                <c:pt idx="12" formatCode="0.00">
                  <c:v>169.33600000000013</c:v>
                </c:pt>
                <c:pt idx="13" formatCode="0.00">
                  <c:v>141.11400000000012</c:v>
                </c:pt>
                <c:pt idx="14" formatCode="0.00">
                  <c:v>112.89200000000011</c:v>
                </c:pt>
                <c:pt idx="15" formatCode="0.00">
                  <c:v>84.6700000000001</c:v>
                </c:pt>
                <c:pt idx="16" formatCode="0.00">
                  <c:v>56.4480000000001</c:v>
                </c:pt>
                <c:pt idx="17" formatCode="0.00">
                  <c:v>28.2260000000001</c:v>
                </c:pt>
                <c:pt idx="18" formatCode="0.00">
                  <c:v>0.004000000000097259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'Sprint 2'!$L$3</c:f>
              <c:strCache>
                <c:ptCount val="1"/>
                <c:pt idx="0">
                  <c:v>Esforço Real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/>
            </c:spPr>
          </c:marker>
          <c:cat>
            <c:numRef>
              <c:f>'Sprint 2'!$J$4:$J$22</c:f>
              <c:numCache>
                <c:formatCode>dd/mm;@</c:formatCode>
                <c:ptCount val="19"/>
                <c:pt idx="0">
                  <c:v>46148</c:v>
                </c:pt>
                <c:pt idx="1">
                  <c:v>46149</c:v>
                </c:pt>
                <c:pt idx="2">
                  <c:v>46150</c:v>
                </c:pt>
                <c:pt idx="3">
                  <c:v>46151</c:v>
                </c:pt>
                <c:pt idx="4">
                  <c:v>46152</c:v>
                </c:pt>
                <c:pt idx="5">
                  <c:v>46153</c:v>
                </c:pt>
                <c:pt idx="6">
                  <c:v>46154</c:v>
                </c:pt>
                <c:pt idx="7">
                  <c:v>46155</c:v>
                </c:pt>
                <c:pt idx="8">
                  <c:v>46156</c:v>
                </c:pt>
                <c:pt idx="9">
                  <c:v>46157</c:v>
                </c:pt>
                <c:pt idx="10">
                  <c:v>46158</c:v>
                </c:pt>
                <c:pt idx="11">
                  <c:v>46159</c:v>
                </c:pt>
                <c:pt idx="12">
                  <c:v>46160</c:v>
                </c:pt>
                <c:pt idx="13">
                  <c:v>46161</c:v>
                </c:pt>
                <c:pt idx="14">
                  <c:v>46162</c:v>
                </c:pt>
                <c:pt idx="15">
                  <c:v>46163</c:v>
                </c:pt>
                <c:pt idx="16">
                  <c:v>46164</c:v>
                </c:pt>
                <c:pt idx="17">
                  <c:v>46165</c:v>
                </c:pt>
                <c:pt idx="18">
                  <c:v>46166</c:v>
                </c:pt>
              </c:numCache>
            </c:numRef>
          </c:cat>
          <c:val>
            <c:numRef>
              <c:f>'Sprint 2'!$L$4:$L$22</c:f>
              <c:numCache>
                <c:formatCode>General</c:formatCode>
                <c:ptCount val="19"/>
                <c:pt idx="0">
                  <c:v>508</c:v>
                </c:pt>
                <c:pt idx="1">
                  <c:v>508</c:v>
                </c:pt>
                <c:pt idx="2">
                  <c:v>508</c:v>
                </c:pt>
                <c:pt idx="3">
                  <c:v>508</c:v>
                </c:pt>
                <c:pt idx="4">
                  <c:v>508</c:v>
                </c:pt>
                <c:pt idx="5">
                  <c:v>508</c:v>
                </c:pt>
                <c:pt idx="6">
                  <c:v>508</c:v>
                </c:pt>
                <c:pt idx="7">
                  <c:v>508</c:v>
                </c:pt>
                <c:pt idx="8">
                  <c:v>508</c:v>
                </c:pt>
                <c:pt idx="9">
                  <c:v>508</c:v>
                </c:pt>
                <c:pt idx="10">
                  <c:v>508</c:v>
                </c:pt>
                <c:pt idx="11">
                  <c:v>508</c:v>
                </c:pt>
                <c:pt idx="12">
                  <c:v>494</c:v>
                </c:pt>
                <c:pt idx="13">
                  <c:v>477</c:v>
                </c:pt>
                <c:pt idx="14">
                  <c:v>477</c:v>
                </c:pt>
                <c:pt idx="15">
                  <c:v>477</c:v>
                </c:pt>
                <c:pt idx="18">
                  <c:v>0</c:v>
                </c:pt>
              </c:numCache>
            </c:numRef>
          </c:val>
          <c:smooth val="0"/>
        </c:ser>
        <c:marker val="1"/>
        <c:smooth val="0"/>
        <c:axId val="2140841537"/>
        <c:axId val="2140841538"/>
      </c:lineChart>
      <c:catAx>
        <c:axId val="2140841537"/>
        <c:scaling>
          <c:orientation val="minMax"/>
        </c:scaling>
        <c:delete val="0"/>
        <c:axPos val="b"/>
        <c:numFmt formatCode="dd/mm;@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38"/>
        <c:crosses val="autoZero"/>
        <c:auto val="1"/>
        <c:lblAlgn val="ctr"/>
        <c:lblOffset val="100"/>
        <c:noMultiLvlLbl val="0"/>
      </c:catAx>
      <c:valAx>
        <c:axId val="214084153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3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 bwMode="auto">
    <a:xfrm rot="0" flipH="0" flipV="0">
      <a:off x="28908374" y="257174"/>
      <a:ext cx="9315450" cy="454342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12</xdr:col>
      <xdr:colOff>323849</xdr:colOff>
      <xdr:row>1</xdr:row>
      <xdr:rowOff>9524</xdr:rowOff>
    </xdr:from>
    <xdr:to>
      <xdr:col>27</xdr:col>
      <xdr:colOff>495299</xdr:colOff>
      <xdr:row>19</xdr:row>
      <xdr:rowOff>95249</xdr:rowOff>
    </xdr:to>
    <xdr:graphicFrame>
      <xdr:nvGraphicFramePr>
        <xdr:cNvPr id="879650156" name=""/>
        <xdr:cNvGraphicFramePr>
          <a:graphicFrameLocks xmlns:a="http://schemas.openxmlformats.org/drawingml/2006/main"/>
        </xdr:cNvGraphicFramePr>
      </xdr:nvGraphicFramePr>
      <xdr:xfrm rot="0" flipH="0" flipV="0">
        <a:off x="28908374" y="257174"/>
        <a:ext cx="9315450" cy="454342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pane ySplit="1" topLeftCell="A2" activePane="bottomLeft" state="frozen"/>
      <selection activeCell="A1" activeCellId="0" sqref="A1"/>
    </sheetView>
  </sheetViews>
  <sheetFormatPr defaultRowHeight="19.5" customHeight="1"/>
  <cols>
    <col customWidth="1" min="1" max="1" style="1" width="15.57421875"/>
    <col customWidth="1" min="2" max="2" style="1" width="14.28125"/>
    <col customWidth="1" min="3" max="3" style="1" width="73.57421875"/>
    <col customWidth="1" min="4" max="4" style="1" width="20.57421875"/>
    <col customWidth="1" min="5" max="5" style="1" width="15.57421875"/>
    <col customWidth="1" min="6" max="6" style="1" width="162.7109375"/>
    <col customWidth="1" min="7" max="7" style="1" width="20.7109375"/>
    <col customWidth="1" min="8" max="8" style="2" width="35.00390625"/>
    <col bestFit="1" customWidth="1" min="9" max="9" style="1" width="9.140625"/>
    <col customWidth="1" min="10" max="10" style="1" width="14.8515625"/>
    <col customWidth="1" min="11" max="11" style="1" width="23.00390625"/>
    <col customWidth="1" min="12" max="12" style="1" width="23.7109375"/>
    <col min="13" max="16384" style="1" width="9.140625"/>
  </cols>
  <sheetData>
    <row r="1" s="3" customFormat="1" ht="19.5" customHeight="1">
      <c r="A1" s="4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3"/>
    </row>
    <row r="2" ht="19.5" customHeight="1">
      <c r="A2" s="8" t="s">
        <v>8</v>
      </c>
      <c r="B2" s="9" t="s">
        <v>9</v>
      </c>
      <c r="C2" s="8" t="s">
        <v>10</v>
      </c>
      <c r="D2" s="9" t="s">
        <v>11</v>
      </c>
      <c r="E2" s="10" t="s">
        <v>12</v>
      </c>
      <c r="F2" s="9" t="s">
        <v>13</v>
      </c>
      <c r="G2" s="11">
        <v>27</v>
      </c>
      <c r="H2" s="11"/>
      <c r="J2" s="12" t="s">
        <v>14</v>
      </c>
      <c r="K2" s="12"/>
      <c r="L2" s="12"/>
    </row>
    <row r="3" ht="19.5" customHeight="1">
      <c r="A3" s="8" t="s">
        <v>15</v>
      </c>
      <c r="B3" s="9" t="s">
        <v>9</v>
      </c>
      <c r="C3" s="8" t="s">
        <v>16</v>
      </c>
      <c r="D3" s="9" t="s">
        <v>11</v>
      </c>
      <c r="E3" s="10" t="s">
        <v>12</v>
      </c>
      <c r="F3" s="9" t="s">
        <v>13</v>
      </c>
      <c r="G3" s="11">
        <v>28</v>
      </c>
      <c r="H3" s="11"/>
      <c r="J3" s="7" t="s">
        <v>17</v>
      </c>
      <c r="K3" s="7" t="s">
        <v>18</v>
      </c>
      <c r="L3" s="7" t="s">
        <v>19</v>
      </c>
    </row>
    <row r="4" ht="19.5" customHeight="1">
      <c r="A4" s="8"/>
      <c r="B4" s="13"/>
      <c r="C4" s="13"/>
      <c r="D4" s="13"/>
      <c r="E4" s="13"/>
      <c r="F4" s="13"/>
      <c r="G4" s="13"/>
      <c r="H4" s="11"/>
      <c r="J4" s="14">
        <v>46148</v>
      </c>
      <c r="K4" s="11">
        <f>G67</f>
        <v>508</v>
      </c>
      <c r="L4" s="11">
        <f>G67</f>
        <v>508</v>
      </c>
    </row>
    <row r="5" ht="19.5" customHeight="1">
      <c r="A5" s="9" t="s">
        <v>20</v>
      </c>
      <c r="B5" s="9" t="s">
        <v>21</v>
      </c>
      <c r="C5" s="9" t="s">
        <v>22</v>
      </c>
      <c r="D5" s="9" t="s">
        <v>11</v>
      </c>
      <c r="E5" s="10" t="s">
        <v>12</v>
      </c>
      <c r="F5" s="9" t="s">
        <v>23</v>
      </c>
      <c r="G5" s="15">
        <v>27</v>
      </c>
      <c r="H5" s="11"/>
      <c r="I5" s="1"/>
      <c r="J5" s="14">
        <v>46149</v>
      </c>
      <c r="K5" s="16">
        <f t="shared" ref="K5:K10" si="0">K4-28.222</f>
        <v>479.77800000000002</v>
      </c>
      <c r="L5" s="11">
        <v>508</v>
      </c>
    </row>
    <row r="6" ht="19.5" customHeight="1">
      <c r="A6" s="9" t="s">
        <v>24</v>
      </c>
      <c r="B6" s="9" t="s">
        <v>21</v>
      </c>
      <c r="C6" s="9" t="s">
        <v>25</v>
      </c>
      <c r="D6" s="9" t="s">
        <v>26</v>
      </c>
      <c r="E6" s="10" t="s">
        <v>12</v>
      </c>
      <c r="F6" s="9" t="s">
        <v>27</v>
      </c>
      <c r="G6" s="11">
        <v>28</v>
      </c>
      <c r="H6" s="11"/>
      <c r="I6" s="1"/>
      <c r="J6" s="14">
        <v>46150</v>
      </c>
      <c r="K6" s="16">
        <f t="shared" si="0"/>
        <v>451.55600000000004</v>
      </c>
      <c r="L6" s="11">
        <v>508</v>
      </c>
    </row>
    <row r="7" ht="19.5" customHeight="1">
      <c r="A7" s="11"/>
      <c r="B7" s="11"/>
      <c r="C7" s="11"/>
      <c r="D7" s="11"/>
      <c r="E7" s="11"/>
      <c r="F7" s="11"/>
      <c r="G7" s="11"/>
      <c r="H7" s="11"/>
      <c r="I7" s="1"/>
      <c r="J7" s="14">
        <v>46151</v>
      </c>
      <c r="K7" s="16">
        <f t="shared" si="0"/>
        <v>423.33400000000006</v>
      </c>
      <c r="L7" s="11">
        <v>508</v>
      </c>
    </row>
    <row r="8" ht="19.5" customHeight="1">
      <c r="A8" s="17" t="s">
        <v>28</v>
      </c>
      <c r="B8" s="17" t="s">
        <v>29</v>
      </c>
      <c r="C8" s="17" t="s">
        <v>30</v>
      </c>
      <c r="D8" s="18" t="s">
        <v>31</v>
      </c>
      <c r="E8" s="19" t="s">
        <v>32</v>
      </c>
      <c r="F8" s="17" t="s">
        <v>30</v>
      </c>
      <c r="G8" s="18">
        <v>21</v>
      </c>
      <c r="H8" s="18"/>
      <c r="I8" s="1"/>
      <c r="J8" s="14">
        <v>46152</v>
      </c>
      <c r="K8" s="16">
        <f t="shared" si="0"/>
        <v>395.11200000000008</v>
      </c>
      <c r="L8" s="11">
        <v>508</v>
      </c>
    </row>
    <row r="9" ht="19.5" customHeight="1">
      <c r="A9" s="20" t="s">
        <v>33</v>
      </c>
      <c r="B9" s="20" t="s">
        <v>29</v>
      </c>
      <c r="C9" s="20" t="s">
        <v>34</v>
      </c>
      <c r="D9" s="21" t="s">
        <v>31</v>
      </c>
      <c r="E9" s="22" t="s">
        <v>35</v>
      </c>
      <c r="F9" s="20" t="s">
        <v>30</v>
      </c>
      <c r="G9" s="21">
        <v>5</v>
      </c>
      <c r="H9" s="23">
        <v>46161</v>
      </c>
      <c r="I9" s="1"/>
      <c r="J9" s="14">
        <v>46153</v>
      </c>
      <c r="K9" s="16">
        <f t="shared" si="0"/>
        <v>366.8900000000001</v>
      </c>
      <c r="L9" s="11">
        <v>508</v>
      </c>
    </row>
    <row r="10" ht="19.5" customHeight="1">
      <c r="A10" s="20" t="s">
        <v>36</v>
      </c>
      <c r="B10" s="20" t="s">
        <v>29</v>
      </c>
      <c r="C10" s="20" t="s">
        <v>37</v>
      </c>
      <c r="D10" s="21" t="s">
        <v>31</v>
      </c>
      <c r="E10" s="22" t="s">
        <v>35</v>
      </c>
      <c r="F10" s="20" t="s">
        <v>30</v>
      </c>
      <c r="G10" s="21">
        <v>5</v>
      </c>
      <c r="H10" s="23">
        <v>46161</v>
      </c>
      <c r="I10" s="1"/>
      <c r="J10" s="14">
        <v>46154</v>
      </c>
      <c r="K10" s="16">
        <f t="shared" si="0"/>
        <v>338.66800000000012</v>
      </c>
      <c r="L10" s="11">
        <v>508</v>
      </c>
    </row>
    <row r="11" ht="19.5" customHeight="1">
      <c r="A11" s="17" t="s">
        <v>38</v>
      </c>
      <c r="B11" s="17" t="s">
        <v>29</v>
      </c>
      <c r="C11" s="17" t="s">
        <v>39</v>
      </c>
      <c r="D11" s="18" t="s">
        <v>31</v>
      </c>
      <c r="E11" s="19" t="s">
        <v>32</v>
      </c>
      <c r="F11" s="17" t="s">
        <v>30</v>
      </c>
      <c r="G11" s="18">
        <v>6</v>
      </c>
      <c r="H11" s="18"/>
      <c r="I11" s="1"/>
      <c r="J11" s="14">
        <v>46155</v>
      </c>
      <c r="K11" s="16">
        <f t="shared" ref="K11:K22" si="1">K10-28.222</f>
        <v>310.44600000000014</v>
      </c>
      <c r="L11" s="11">
        <v>508</v>
      </c>
    </row>
    <row r="12" ht="19.5" customHeight="1">
      <c r="A12" s="20" t="s">
        <v>40</v>
      </c>
      <c r="B12" s="20" t="s">
        <v>29</v>
      </c>
      <c r="C12" s="20" t="s">
        <v>41</v>
      </c>
      <c r="D12" s="21" t="s">
        <v>31</v>
      </c>
      <c r="E12" s="22" t="s">
        <v>35</v>
      </c>
      <c r="F12" s="20" t="s">
        <v>30</v>
      </c>
      <c r="G12" s="21">
        <v>5</v>
      </c>
      <c r="H12" s="23">
        <v>46161</v>
      </c>
      <c r="I12" s="1"/>
      <c r="J12" s="14">
        <v>46156</v>
      </c>
      <c r="K12" s="16">
        <f t="shared" si="1"/>
        <v>282.22400000000016</v>
      </c>
      <c r="L12" s="11">
        <v>508</v>
      </c>
    </row>
    <row r="13" ht="19.5" customHeight="1">
      <c r="A13" s="11"/>
      <c r="B13" s="11"/>
      <c r="C13" s="11"/>
      <c r="D13" s="11"/>
      <c r="E13" s="11"/>
      <c r="F13" s="11"/>
      <c r="G13" s="11"/>
      <c r="H13" s="11"/>
      <c r="I13" s="1"/>
      <c r="J13" s="14">
        <v>46157</v>
      </c>
      <c r="K13" s="16">
        <f t="shared" si="1"/>
        <v>254.00200000000015</v>
      </c>
      <c r="L13" s="11">
        <v>508</v>
      </c>
    </row>
    <row r="14" ht="19.5" customHeight="1">
      <c r="A14" s="19" t="s">
        <v>42</v>
      </c>
      <c r="B14" s="19" t="s">
        <v>42</v>
      </c>
      <c r="C14" s="19" t="s">
        <v>43</v>
      </c>
      <c r="D14" s="19" t="s">
        <v>44</v>
      </c>
      <c r="E14" s="19" t="s">
        <v>32</v>
      </c>
      <c r="F14" s="19" t="s">
        <v>45</v>
      </c>
      <c r="G14" s="18">
        <v>34</v>
      </c>
      <c r="H14" s="18"/>
      <c r="I14" s="1"/>
      <c r="J14" s="14">
        <v>46158</v>
      </c>
      <c r="K14" s="16">
        <f t="shared" si="1"/>
        <v>225.78000000000014</v>
      </c>
      <c r="L14" s="11">
        <v>508</v>
      </c>
      <c r="M14" s="1"/>
    </row>
    <row r="15" ht="19.5" customHeight="1">
      <c r="A15" s="11"/>
      <c r="B15" s="11"/>
      <c r="C15" s="11"/>
      <c r="D15" s="11"/>
      <c r="E15" s="11"/>
      <c r="F15" s="11"/>
      <c r="G15" s="11"/>
      <c r="H15" s="11"/>
      <c r="I15" s="1"/>
      <c r="J15" s="14">
        <v>46159</v>
      </c>
      <c r="K15" s="16">
        <f t="shared" si="1"/>
        <v>197.55800000000013</v>
      </c>
      <c r="L15" s="11">
        <v>508</v>
      </c>
      <c r="M15" s="1"/>
    </row>
    <row r="16" ht="19.5" customHeight="1">
      <c r="A16" s="9" t="s">
        <v>46</v>
      </c>
      <c r="B16" s="9" t="s">
        <v>46</v>
      </c>
      <c r="C16" s="9" t="s">
        <v>47</v>
      </c>
      <c r="D16" s="9" t="s">
        <v>44</v>
      </c>
      <c r="E16" s="10" t="s">
        <v>12</v>
      </c>
      <c r="F16" s="9" t="s">
        <v>48</v>
      </c>
      <c r="G16" s="11">
        <v>34</v>
      </c>
      <c r="H16" s="11"/>
      <c r="I16" s="1"/>
      <c r="J16" s="14">
        <v>46160</v>
      </c>
      <c r="K16" s="16">
        <f t="shared" si="1"/>
        <v>169.33600000000013</v>
      </c>
      <c r="L16" s="11">
        <f>L15-14</f>
        <v>494</v>
      </c>
      <c r="M16" s="1"/>
    </row>
    <row r="17" ht="19.5" customHeight="1">
      <c r="A17" s="11"/>
      <c r="B17" s="11"/>
      <c r="C17" s="11"/>
      <c r="D17" s="11"/>
      <c r="E17" s="11"/>
      <c r="F17" s="11"/>
      <c r="G17" s="11"/>
      <c r="H17" s="11"/>
      <c r="I17" s="1"/>
      <c r="J17" s="14">
        <v>46161</v>
      </c>
      <c r="K17" s="16">
        <f t="shared" si="1"/>
        <v>141.11400000000012</v>
      </c>
      <c r="L17" s="11">
        <f>L16-17</f>
        <v>477</v>
      </c>
      <c r="M17" s="1"/>
    </row>
    <row r="18" ht="19.5" customHeight="1">
      <c r="A18" s="19" t="s">
        <v>49</v>
      </c>
      <c r="B18" s="19" t="s">
        <v>49</v>
      </c>
      <c r="C18" s="19" t="s">
        <v>50</v>
      </c>
      <c r="D18" s="19" t="s">
        <v>51</v>
      </c>
      <c r="E18" s="19" t="s">
        <v>32</v>
      </c>
      <c r="F18" s="19" t="s">
        <v>52</v>
      </c>
      <c r="G18" s="18">
        <v>55</v>
      </c>
      <c r="H18" s="18"/>
      <c r="I18" s="1"/>
      <c r="J18" s="14">
        <v>46162</v>
      </c>
      <c r="K18" s="16">
        <f t="shared" si="1"/>
        <v>112.89200000000011</v>
      </c>
      <c r="L18" s="11">
        <v>477</v>
      </c>
      <c r="M18" s="1"/>
    </row>
    <row r="19" ht="19.5" customHeight="1">
      <c r="A19" s="9"/>
      <c r="B19" s="9"/>
      <c r="C19" s="9"/>
      <c r="D19" s="9"/>
      <c r="E19" s="9"/>
      <c r="F19" s="9"/>
      <c r="G19" s="11"/>
      <c r="H19" s="11"/>
      <c r="I19" s="1"/>
      <c r="J19" s="14">
        <v>46163</v>
      </c>
      <c r="K19" s="16">
        <f t="shared" si="1"/>
        <v>84.670000000000101</v>
      </c>
      <c r="L19" s="11">
        <v>477</v>
      </c>
      <c r="M19" s="1"/>
    </row>
    <row r="20" ht="19.5" customHeight="1">
      <c r="A20" s="19" t="s">
        <v>53</v>
      </c>
      <c r="B20" s="19" t="s">
        <v>54</v>
      </c>
      <c r="C20" s="18" t="s">
        <v>55</v>
      </c>
      <c r="D20" s="19" t="s">
        <v>44</v>
      </c>
      <c r="E20" s="19" t="s">
        <v>32</v>
      </c>
      <c r="F20" s="24" t="s">
        <v>56</v>
      </c>
      <c r="G20" s="18">
        <v>21</v>
      </c>
      <c r="H20" s="18"/>
      <c r="I20" s="1"/>
      <c r="J20" s="14">
        <v>46164</v>
      </c>
      <c r="K20" s="16">
        <f t="shared" si="1"/>
        <v>56.4480000000001</v>
      </c>
      <c r="L20" s="11"/>
      <c r="M20" s="1"/>
    </row>
    <row r="21" ht="19.5" customHeight="1">
      <c r="A21" s="19" t="s">
        <v>57</v>
      </c>
      <c r="B21" s="19" t="s">
        <v>54</v>
      </c>
      <c r="C21" s="18" t="s">
        <v>58</v>
      </c>
      <c r="D21" s="19" t="s">
        <v>51</v>
      </c>
      <c r="E21" s="19" t="s">
        <v>32</v>
      </c>
      <c r="F21" s="18" t="s">
        <v>56</v>
      </c>
      <c r="G21" s="18">
        <v>10</v>
      </c>
      <c r="H21" s="18"/>
      <c r="I21" s="1"/>
      <c r="J21" s="14">
        <v>46165</v>
      </c>
      <c r="K21" s="16">
        <f t="shared" si="1"/>
        <v>28.226000000000099</v>
      </c>
      <c r="L21" s="11"/>
      <c r="M21" s="1"/>
    </row>
    <row r="22" ht="19.5" customHeight="1">
      <c r="A22" s="25" t="s">
        <v>59</v>
      </c>
      <c r="B22" s="25" t="s">
        <v>54</v>
      </c>
      <c r="C22" s="26" t="s">
        <v>60</v>
      </c>
      <c r="D22" s="25" t="s">
        <v>26</v>
      </c>
      <c r="E22" s="25" t="s">
        <v>61</v>
      </c>
      <c r="F22" s="26" t="s">
        <v>56</v>
      </c>
      <c r="G22" s="26">
        <v>11</v>
      </c>
      <c r="H22" s="26"/>
      <c r="I22" s="1"/>
      <c r="J22" s="14">
        <v>46166</v>
      </c>
      <c r="K22" s="16">
        <f t="shared" si="1"/>
        <v>0.0040000000000972591</v>
      </c>
      <c r="L22" s="11">
        <v>0</v>
      </c>
      <c r="M22" s="1"/>
    </row>
    <row r="23" ht="19.5" customHeight="1">
      <c r="A23" s="9"/>
      <c r="B23" s="9"/>
      <c r="C23" s="11"/>
      <c r="D23" s="9"/>
      <c r="E23" s="9"/>
      <c r="F23" s="13"/>
      <c r="G23" s="11"/>
      <c r="H23" s="11"/>
      <c r="I23" s="1"/>
      <c r="J23" s="1"/>
      <c r="K23" s="1"/>
      <c r="L23" s="1"/>
      <c r="M23" s="1"/>
    </row>
    <row r="24" ht="19.5" customHeight="1">
      <c r="A24" s="22" t="s">
        <v>62</v>
      </c>
      <c r="B24" s="22" t="s">
        <v>63</v>
      </c>
      <c r="C24" s="22" t="s">
        <v>64</v>
      </c>
      <c r="D24" s="22" t="s">
        <v>65</v>
      </c>
      <c r="E24" s="22" t="s">
        <v>35</v>
      </c>
      <c r="F24" s="22" t="s">
        <v>66</v>
      </c>
      <c r="G24" s="21">
        <v>2</v>
      </c>
      <c r="H24" s="27">
        <v>46160</v>
      </c>
      <c r="I24" s="1"/>
      <c r="J24" s="1"/>
      <c r="K24" s="1"/>
      <c r="L24" s="1"/>
      <c r="M24" s="1"/>
    </row>
    <row r="25" ht="19.5" customHeight="1">
      <c r="A25" s="22" t="s">
        <v>67</v>
      </c>
      <c r="B25" s="22" t="s">
        <v>63</v>
      </c>
      <c r="C25" s="22" t="s">
        <v>68</v>
      </c>
      <c r="D25" s="22" t="s">
        <v>65</v>
      </c>
      <c r="E25" s="22" t="s">
        <v>35</v>
      </c>
      <c r="F25" s="22" t="s">
        <v>69</v>
      </c>
      <c r="G25" s="21">
        <v>2</v>
      </c>
      <c r="H25" s="23">
        <v>46160</v>
      </c>
      <c r="I25" s="1"/>
      <c r="J25" s="1"/>
      <c r="K25" s="1"/>
      <c r="L25" s="1"/>
      <c r="M25" s="1"/>
    </row>
    <row r="26" ht="19.5" customHeight="1">
      <c r="A26" s="22" t="s">
        <v>70</v>
      </c>
      <c r="B26" s="22" t="s">
        <v>63</v>
      </c>
      <c r="C26" s="22" t="s">
        <v>71</v>
      </c>
      <c r="D26" s="22" t="s">
        <v>65</v>
      </c>
      <c r="E26" s="22" t="s">
        <v>35</v>
      </c>
      <c r="F26" s="22" t="s">
        <v>72</v>
      </c>
      <c r="G26" s="21">
        <v>2</v>
      </c>
      <c r="H26" s="23">
        <v>46160</v>
      </c>
      <c r="I26" s="1"/>
      <c r="J26" s="1"/>
      <c r="K26" s="1"/>
      <c r="L26" s="1"/>
      <c r="M26" s="1"/>
    </row>
    <row r="27" ht="19.5" customHeight="1">
      <c r="A27" s="25" t="s">
        <v>73</v>
      </c>
      <c r="B27" s="25" t="s">
        <v>63</v>
      </c>
      <c r="C27" s="25" t="s">
        <v>74</v>
      </c>
      <c r="D27" s="25" t="s">
        <v>65</v>
      </c>
      <c r="E27" s="25" t="s">
        <v>61</v>
      </c>
      <c r="F27" s="25" t="s">
        <v>75</v>
      </c>
      <c r="G27" s="26">
        <v>2</v>
      </c>
      <c r="H27" s="26"/>
      <c r="I27" s="1"/>
      <c r="J27" s="1"/>
      <c r="K27" s="1"/>
      <c r="L27" s="1"/>
      <c r="M27" s="1"/>
    </row>
    <row r="28" ht="19.5" customHeight="1">
      <c r="A28" s="25" t="s">
        <v>76</v>
      </c>
      <c r="B28" s="28" t="s">
        <v>63</v>
      </c>
      <c r="C28" s="25" t="s">
        <v>77</v>
      </c>
      <c r="D28" s="25" t="s">
        <v>65</v>
      </c>
      <c r="E28" s="25" t="s">
        <v>61</v>
      </c>
      <c r="F28" s="25" t="s">
        <v>78</v>
      </c>
      <c r="G28" s="26">
        <v>2</v>
      </c>
      <c r="H28" s="26"/>
      <c r="I28" s="1"/>
      <c r="J28" s="1"/>
      <c r="K28" s="1"/>
      <c r="L28" s="1"/>
      <c r="M28" s="1"/>
    </row>
    <row r="29" ht="19.5" customHeight="1">
      <c r="A29" s="25" t="s">
        <v>79</v>
      </c>
      <c r="B29" s="28" t="s">
        <v>63</v>
      </c>
      <c r="C29" s="25" t="s">
        <v>80</v>
      </c>
      <c r="D29" s="25" t="s">
        <v>65</v>
      </c>
      <c r="E29" s="25" t="s">
        <v>61</v>
      </c>
      <c r="F29" s="25" t="s">
        <v>81</v>
      </c>
      <c r="G29" s="26">
        <v>2</v>
      </c>
      <c r="H29" s="26"/>
      <c r="I29" s="1"/>
      <c r="J29" s="1"/>
      <c r="K29" s="1"/>
      <c r="L29" s="1"/>
      <c r="M29" s="1"/>
    </row>
    <row r="30" ht="19.5" customHeight="1">
      <c r="A30" s="25" t="s">
        <v>82</v>
      </c>
      <c r="B30" s="28" t="s">
        <v>63</v>
      </c>
      <c r="C30" s="25" t="s">
        <v>83</v>
      </c>
      <c r="D30" s="25" t="s">
        <v>65</v>
      </c>
      <c r="E30" s="25" t="s">
        <v>61</v>
      </c>
      <c r="F30" s="25" t="s">
        <v>84</v>
      </c>
      <c r="G30" s="26">
        <v>2</v>
      </c>
      <c r="H30" s="26"/>
      <c r="I30" s="1"/>
      <c r="J30" s="1"/>
      <c r="K30" s="1"/>
      <c r="L30" s="1"/>
      <c r="M30" s="1"/>
    </row>
    <row r="31" ht="19.5" customHeight="1">
      <c r="A31" s="22" t="s">
        <v>85</v>
      </c>
      <c r="B31" s="29" t="s">
        <v>63</v>
      </c>
      <c r="C31" s="22" t="s">
        <v>86</v>
      </c>
      <c r="D31" s="22" t="s">
        <v>65</v>
      </c>
      <c r="E31" s="22" t="s">
        <v>35</v>
      </c>
      <c r="F31" s="22" t="s">
        <v>87</v>
      </c>
      <c r="G31" s="21">
        <v>2</v>
      </c>
      <c r="H31" s="23">
        <v>46160</v>
      </c>
      <c r="I31" s="1"/>
      <c r="J31" s="1"/>
      <c r="K31" s="1"/>
      <c r="L31" s="1"/>
      <c r="M31" s="1"/>
    </row>
    <row r="32" ht="19.5" customHeight="1">
      <c r="A32" s="22" t="s">
        <v>88</v>
      </c>
      <c r="B32" s="29" t="s">
        <v>63</v>
      </c>
      <c r="C32" s="22" t="s">
        <v>89</v>
      </c>
      <c r="D32" s="22" t="s">
        <v>65</v>
      </c>
      <c r="E32" s="22" t="s">
        <v>35</v>
      </c>
      <c r="F32" s="22" t="s">
        <v>90</v>
      </c>
      <c r="G32" s="21">
        <v>2</v>
      </c>
      <c r="H32" s="23">
        <v>46160</v>
      </c>
      <c r="I32" s="1"/>
      <c r="J32" s="1"/>
      <c r="K32" s="1"/>
      <c r="L32" s="1"/>
      <c r="M32" s="1"/>
    </row>
    <row r="33" ht="19.5" customHeight="1">
      <c r="A33" s="22" t="s">
        <v>91</v>
      </c>
      <c r="B33" s="29" t="s">
        <v>63</v>
      </c>
      <c r="C33" s="22" t="s">
        <v>92</v>
      </c>
      <c r="D33" s="22" t="s">
        <v>65</v>
      </c>
      <c r="E33" s="22" t="s">
        <v>35</v>
      </c>
      <c r="F33" s="22" t="s">
        <v>93</v>
      </c>
      <c r="G33" s="21">
        <v>2</v>
      </c>
      <c r="H33" s="23">
        <v>46160</v>
      </c>
      <c r="I33" s="1"/>
      <c r="J33" s="1"/>
      <c r="K33" s="1"/>
      <c r="L33" s="1"/>
      <c r="M33" s="1"/>
    </row>
    <row r="34" ht="19.5" customHeight="1">
      <c r="A34" s="22" t="s">
        <v>94</v>
      </c>
      <c r="B34" s="22" t="s">
        <v>63</v>
      </c>
      <c r="C34" s="22" t="s">
        <v>95</v>
      </c>
      <c r="D34" s="22" t="s">
        <v>65</v>
      </c>
      <c r="E34" s="22" t="s">
        <v>35</v>
      </c>
      <c r="F34" s="22" t="s">
        <v>96</v>
      </c>
      <c r="G34" s="21">
        <v>2</v>
      </c>
      <c r="H34" s="27">
        <v>46160</v>
      </c>
      <c r="I34" s="1"/>
      <c r="J34" s="1"/>
      <c r="K34" s="1"/>
      <c r="L34" s="1"/>
      <c r="M34" s="1"/>
    </row>
    <row r="35" ht="19.5" customHeight="1">
      <c r="A35" s="9" t="s">
        <v>97</v>
      </c>
      <c r="B35" s="30" t="s">
        <v>63</v>
      </c>
      <c r="C35" s="9" t="s">
        <v>98</v>
      </c>
      <c r="D35" s="9" t="s">
        <v>99</v>
      </c>
      <c r="E35" s="10" t="s">
        <v>12</v>
      </c>
      <c r="F35" s="9" t="s">
        <v>100</v>
      </c>
      <c r="G35" s="11">
        <v>2</v>
      </c>
      <c r="H35" s="11"/>
      <c r="I35" s="1"/>
      <c r="J35" s="1"/>
      <c r="K35" s="1"/>
      <c r="L35" s="1"/>
      <c r="M35" s="1"/>
    </row>
    <row r="36" ht="19.5" customHeight="1">
      <c r="A36" s="22" t="s">
        <v>101</v>
      </c>
      <c r="B36" s="29" t="s">
        <v>63</v>
      </c>
      <c r="C36" s="22" t="s">
        <v>102</v>
      </c>
      <c r="D36" s="22" t="s">
        <v>99</v>
      </c>
      <c r="E36" s="22" t="s">
        <v>35</v>
      </c>
      <c r="F36" s="22" t="s">
        <v>103</v>
      </c>
      <c r="G36" s="21">
        <v>2</v>
      </c>
      <c r="H36" s="27">
        <v>46161</v>
      </c>
      <c r="I36" s="1"/>
      <c r="J36" s="1"/>
      <c r="K36" s="1"/>
      <c r="L36" s="1"/>
      <c r="M36" s="1"/>
    </row>
    <row r="37" ht="19.5" customHeight="1">
      <c r="A37" s="19" t="s">
        <v>104</v>
      </c>
      <c r="B37" s="31" t="s">
        <v>63</v>
      </c>
      <c r="C37" s="19" t="s">
        <v>105</v>
      </c>
      <c r="D37" s="19" t="s">
        <v>99</v>
      </c>
      <c r="E37" s="19" t="s">
        <v>32</v>
      </c>
      <c r="F37" s="19" t="s">
        <v>106</v>
      </c>
      <c r="G37" s="18">
        <v>2</v>
      </c>
      <c r="H37" s="18"/>
      <c r="I37" s="1"/>
      <c r="J37" s="1"/>
      <c r="K37" s="1"/>
      <c r="L37" s="1"/>
      <c r="M37" s="1"/>
    </row>
    <row r="38" ht="19.5" customHeight="1">
      <c r="A38" s="9" t="s">
        <v>107</v>
      </c>
      <c r="B38" s="30" t="s">
        <v>63</v>
      </c>
      <c r="C38" s="9" t="s">
        <v>108</v>
      </c>
      <c r="D38" s="9" t="s">
        <v>109</v>
      </c>
      <c r="E38" s="10" t="s">
        <v>12</v>
      </c>
      <c r="F38" s="9" t="s">
        <v>110</v>
      </c>
      <c r="G38" s="11">
        <v>2</v>
      </c>
      <c r="H38" s="11"/>
      <c r="I38" s="1"/>
      <c r="J38" s="1"/>
      <c r="K38" s="1"/>
      <c r="L38" s="1"/>
      <c r="M38" s="1"/>
    </row>
    <row r="39" ht="19.5" customHeight="1">
      <c r="A39" s="25" t="s">
        <v>111</v>
      </c>
      <c r="B39" s="25" t="s">
        <v>63</v>
      </c>
      <c r="C39" s="25" t="s">
        <v>112</v>
      </c>
      <c r="D39" s="25" t="s">
        <v>113</v>
      </c>
      <c r="E39" s="25" t="s">
        <v>61</v>
      </c>
      <c r="F39" s="25" t="s">
        <v>114</v>
      </c>
      <c r="G39" s="26">
        <v>2</v>
      </c>
      <c r="H39" s="26"/>
      <c r="I39" s="1"/>
      <c r="J39" s="1"/>
      <c r="K39" s="1"/>
      <c r="L39" s="1"/>
      <c r="M39" s="1"/>
    </row>
    <row r="40" ht="19.5" customHeight="1">
      <c r="A40" s="9"/>
      <c r="B40" s="9"/>
      <c r="C40" s="9"/>
      <c r="D40" s="9"/>
      <c r="E40"/>
      <c r="F40" s="9"/>
      <c r="G40" s="11"/>
      <c r="H40" s="11"/>
      <c r="I40" s="1"/>
      <c r="J40" s="1"/>
      <c r="K40" s="1"/>
      <c r="L40" s="1"/>
      <c r="M40" s="1"/>
    </row>
    <row r="41" ht="19.5" customHeight="1">
      <c r="A41" s="19" t="s">
        <v>115</v>
      </c>
      <c r="B41" s="19" t="s">
        <v>63</v>
      </c>
      <c r="C41" s="18" t="s">
        <v>116</v>
      </c>
      <c r="D41" s="19" t="s">
        <v>113</v>
      </c>
      <c r="E41" s="19" t="s">
        <v>32</v>
      </c>
      <c r="F41" s="18" t="s">
        <v>117</v>
      </c>
      <c r="G41" s="18">
        <v>2</v>
      </c>
      <c r="H41" s="18"/>
      <c r="I41" s="1"/>
      <c r="J41" s="1"/>
      <c r="K41" s="1"/>
      <c r="L41" s="1"/>
      <c r="M41" s="1"/>
    </row>
    <row r="42" ht="19.5" customHeight="1">
      <c r="A42" s="19" t="s">
        <v>118</v>
      </c>
      <c r="B42" s="19" t="s">
        <v>63</v>
      </c>
      <c r="C42" s="19" t="s">
        <v>119</v>
      </c>
      <c r="D42" s="19" t="s">
        <v>113</v>
      </c>
      <c r="E42" s="19" t="s">
        <v>32</v>
      </c>
      <c r="F42" s="19" t="s">
        <v>120</v>
      </c>
      <c r="G42" s="18">
        <v>0.69999999999999996</v>
      </c>
      <c r="H42" s="18"/>
      <c r="I42" s="1"/>
      <c r="J42" s="1"/>
      <c r="K42" s="1"/>
      <c r="L42" s="1"/>
      <c r="M42" s="1"/>
    </row>
    <row r="43" ht="19.5" customHeight="1">
      <c r="A43" s="19" t="s">
        <v>121</v>
      </c>
      <c r="B43" s="19" t="s">
        <v>63</v>
      </c>
      <c r="C43" s="19" t="s">
        <v>122</v>
      </c>
      <c r="D43" s="19" t="s">
        <v>113</v>
      </c>
      <c r="E43" s="19" t="s">
        <v>32</v>
      </c>
      <c r="F43" s="19" t="s">
        <v>123</v>
      </c>
      <c r="G43" s="18">
        <v>0.69999999999999996</v>
      </c>
      <c r="H43" s="18"/>
      <c r="I43" s="1"/>
      <c r="J43" s="1"/>
      <c r="K43" s="1"/>
      <c r="L43" s="1"/>
      <c r="M43" s="1"/>
    </row>
    <row r="44" ht="19.5" customHeight="1">
      <c r="A44" s="19" t="s">
        <v>124</v>
      </c>
      <c r="B44" s="19" t="s">
        <v>63</v>
      </c>
      <c r="C44" s="19" t="s">
        <v>125</v>
      </c>
      <c r="D44" s="19" t="s">
        <v>113</v>
      </c>
      <c r="E44" s="19" t="s">
        <v>32</v>
      </c>
      <c r="F44" s="19" t="s">
        <v>126</v>
      </c>
      <c r="G44" s="18">
        <v>0.59999999999999998</v>
      </c>
      <c r="H44" s="18"/>
      <c r="I44" s="1"/>
      <c r="J44" s="1"/>
      <c r="K44" s="1"/>
      <c r="L44" s="1"/>
      <c r="M44" s="1"/>
    </row>
    <row r="45" ht="19.5" customHeight="1">
      <c r="A45" s="9"/>
      <c r="B45" s="9"/>
      <c r="C45" s="9"/>
      <c r="D45" s="9"/>
      <c r="E45" s="9"/>
      <c r="F45" s="9"/>
      <c r="G45" s="11"/>
      <c r="H45" s="11"/>
      <c r="I45" s="1"/>
      <c r="J45" s="1"/>
      <c r="K45" s="1"/>
      <c r="L45" s="1"/>
      <c r="M45" s="1"/>
    </row>
    <row r="46" ht="19.5" customHeight="1">
      <c r="A46" s="11" t="s">
        <v>127</v>
      </c>
      <c r="B46" s="11" t="s">
        <v>127</v>
      </c>
      <c r="C46" s="15" t="s">
        <v>128</v>
      </c>
      <c r="D46" s="9" t="s">
        <v>129</v>
      </c>
      <c r="E46" s="10" t="s">
        <v>12</v>
      </c>
      <c r="F46" s="15" t="s">
        <v>130</v>
      </c>
      <c r="G46" s="11">
        <v>21</v>
      </c>
      <c r="H46" s="11"/>
      <c r="I46" s="1"/>
      <c r="J46" s="1"/>
      <c r="K46" s="1"/>
      <c r="L46" s="1"/>
      <c r="M46" s="1"/>
    </row>
    <row r="47" ht="19.5" customHeight="1">
      <c r="A47" s="11"/>
      <c r="B47" s="11"/>
      <c r="C47" s="15"/>
      <c r="D47" s="11"/>
      <c r="E47" s="9"/>
      <c r="F47" s="15"/>
      <c r="G47" s="11"/>
      <c r="H47" s="11"/>
      <c r="I47" s="1"/>
      <c r="J47" s="1"/>
      <c r="K47" s="1"/>
      <c r="L47" s="1"/>
      <c r="M47" s="1"/>
    </row>
    <row r="48" ht="19.5" customHeight="1">
      <c r="A48" s="9" t="s">
        <v>131</v>
      </c>
      <c r="B48" s="9" t="s">
        <v>131</v>
      </c>
      <c r="C48" s="9" t="s">
        <v>132</v>
      </c>
      <c r="D48" s="9" t="s">
        <v>44</v>
      </c>
      <c r="E48" s="10" t="s">
        <v>12</v>
      </c>
      <c r="F48" s="9" t="s">
        <v>133</v>
      </c>
      <c r="G48" s="11">
        <v>34</v>
      </c>
      <c r="H48" s="11"/>
      <c r="I48" s="1"/>
      <c r="J48" s="1"/>
      <c r="K48" s="1"/>
      <c r="L48" s="1"/>
      <c r="M48" s="1"/>
    </row>
    <row r="49" ht="19.5" customHeight="1">
      <c r="A49" s="11"/>
      <c r="B49" s="11"/>
      <c r="C49" s="11"/>
      <c r="D49" s="11"/>
      <c r="E49" s="11"/>
      <c r="F49" s="11"/>
      <c r="G49" s="11"/>
      <c r="H49" s="11"/>
      <c r="I49" s="1"/>
      <c r="J49" s="1"/>
      <c r="K49" s="1"/>
      <c r="L49" s="1"/>
      <c r="M49" s="1"/>
    </row>
    <row r="50" ht="19.5" customHeight="1">
      <c r="A50" s="25" t="s">
        <v>134</v>
      </c>
      <c r="B50" s="25" t="s">
        <v>135</v>
      </c>
      <c r="C50" s="25" t="s">
        <v>136</v>
      </c>
      <c r="D50" s="25" t="s">
        <v>129</v>
      </c>
      <c r="E50" s="25" t="s">
        <v>61</v>
      </c>
      <c r="F50" s="25" t="s">
        <v>137</v>
      </c>
      <c r="G50" s="26">
        <v>17</v>
      </c>
      <c r="H50" s="26"/>
      <c r="I50" s="1"/>
      <c r="J50" s="1"/>
      <c r="K50" s="1"/>
      <c r="L50" s="1"/>
      <c r="M50" s="1"/>
    </row>
    <row r="51" ht="19.5" customHeight="1">
      <c r="A51" s="25" t="s">
        <v>138</v>
      </c>
      <c r="B51" s="25" t="s">
        <v>135</v>
      </c>
      <c r="C51" s="25" t="s">
        <v>139</v>
      </c>
      <c r="D51" s="25" t="s">
        <v>129</v>
      </c>
      <c r="E51" s="25" t="s">
        <v>61</v>
      </c>
      <c r="F51" s="25" t="s">
        <v>140</v>
      </c>
      <c r="G51" s="26">
        <v>17</v>
      </c>
      <c r="H51" s="26"/>
      <c r="I51" s="1"/>
      <c r="J51" s="1"/>
      <c r="K51" s="1"/>
      <c r="L51" s="1"/>
      <c r="M51" s="1"/>
    </row>
    <row r="52" ht="19.5" customHeight="1">
      <c r="A52" s="19" t="s">
        <v>141</v>
      </c>
      <c r="B52" s="19" t="s">
        <v>135</v>
      </c>
      <c r="C52" s="19" t="s">
        <v>142</v>
      </c>
      <c r="D52" s="19" t="s">
        <v>26</v>
      </c>
      <c r="E52" s="19" t="s">
        <v>32</v>
      </c>
      <c r="F52" s="19" t="s">
        <v>143</v>
      </c>
      <c r="G52" s="18">
        <v>17</v>
      </c>
      <c r="H52" s="18"/>
      <c r="I52" s="1"/>
      <c r="J52" s="1"/>
      <c r="K52" s="1"/>
      <c r="L52" s="1"/>
      <c r="M52" s="1"/>
    </row>
    <row r="53" ht="19.5" customHeight="1">
      <c r="A53" s="11"/>
      <c r="B53" s="11"/>
      <c r="C53" s="11"/>
      <c r="D53" s="11"/>
      <c r="E53" s="11"/>
      <c r="F53" s="11"/>
      <c r="G53" s="11"/>
      <c r="H53" s="11"/>
    </row>
    <row r="54" ht="19.5" customHeight="1">
      <c r="A54" s="32" t="s">
        <v>144</v>
      </c>
      <c r="B54" s="25" t="s">
        <v>145</v>
      </c>
      <c r="C54" s="25" t="s">
        <v>146</v>
      </c>
      <c r="D54" s="25" t="s">
        <v>147</v>
      </c>
      <c r="E54" s="25" t="s">
        <v>61</v>
      </c>
      <c r="F54" s="25" t="s">
        <v>148</v>
      </c>
      <c r="G54" s="26">
        <v>28</v>
      </c>
      <c r="H54" s="26"/>
    </row>
    <row r="55" ht="19.5" customHeight="1">
      <c r="A55" s="32" t="s">
        <v>149</v>
      </c>
      <c r="B55" s="25" t="s">
        <v>145</v>
      </c>
      <c r="C55" s="25" t="s">
        <v>150</v>
      </c>
      <c r="D55" s="25" t="s">
        <v>129</v>
      </c>
      <c r="E55" s="25" t="s">
        <v>61</v>
      </c>
      <c r="F55" s="25" t="s">
        <v>148</v>
      </c>
      <c r="G55" s="26">
        <v>10</v>
      </c>
      <c r="H55" s="26"/>
    </row>
    <row r="56" ht="19.5" customHeight="1">
      <c r="A56" s="32" t="s">
        <v>151</v>
      </c>
      <c r="B56" s="25" t="s">
        <v>145</v>
      </c>
      <c r="C56" s="25" t="s">
        <v>152</v>
      </c>
      <c r="D56" s="25" t="s">
        <v>26</v>
      </c>
      <c r="E56" s="25" t="s">
        <v>61</v>
      </c>
      <c r="F56" s="25" t="s">
        <v>148</v>
      </c>
      <c r="G56" s="26">
        <v>18</v>
      </c>
      <c r="H56" s="26"/>
    </row>
    <row r="57" ht="19.5" customHeight="1">
      <c r="A57" s="8"/>
      <c r="B57" s="9"/>
      <c r="C57" s="9"/>
      <c r="D57" s="9"/>
      <c r="E57"/>
      <c r="F57" s="9"/>
      <c r="G57" s="11"/>
      <c r="H57" s="11"/>
    </row>
    <row r="58" ht="19.5" customHeight="1">
      <c r="A58" s="17" t="s">
        <v>153</v>
      </c>
      <c r="B58" s="19" t="s">
        <v>145</v>
      </c>
      <c r="C58" s="19" t="s">
        <v>154</v>
      </c>
      <c r="D58" s="19" t="s">
        <v>147</v>
      </c>
      <c r="E58" s="33" t="s">
        <v>32</v>
      </c>
      <c r="F58" s="19" t="s">
        <v>155</v>
      </c>
      <c r="G58" s="18">
        <v>27</v>
      </c>
      <c r="H58" s="18"/>
    </row>
    <row r="59" ht="19.5" customHeight="1">
      <c r="A59" s="32" t="s">
        <v>156</v>
      </c>
      <c r="B59" s="25" t="s">
        <v>145</v>
      </c>
      <c r="C59" s="25" t="s">
        <v>150</v>
      </c>
      <c r="D59" s="25" t="s">
        <v>129</v>
      </c>
      <c r="E59" s="25" t="s">
        <v>61</v>
      </c>
      <c r="F59" s="25" t="s">
        <v>155</v>
      </c>
      <c r="G59" s="26">
        <v>10</v>
      </c>
      <c r="H59" s="26"/>
    </row>
    <row r="60" ht="19.5" customHeight="1">
      <c r="A60" s="17" t="s">
        <v>157</v>
      </c>
      <c r="B60" s="19" t="s">
        <v>145</v>
      </c>
      <c r="C60" s="19" t="s">
        <v>152</v>
      </c>
      <c r="D60" s="19" t="s">
        <v>26</v>
      </c>
      <c r="E60" s="19" t="s">
        <v>32</v>
      </c>
      <c r="F60" s="19" t="s">
        <v>155</v>
      </c>
      <c r="G60" s="18">
        <v>17</v>
      </c>
      <c r="H60" s="18"/>
    </row>
    <row r="61" ht="19.5" customHeight="1">
      <c r="A61" s="11"/>
      <c r="B61" s="11"/>
      <c r="C61" s="11"/>
      <c r="D61" s="11"/>
      <c r="E61" s="11"/>
      <c r="F61" s="11"/>
      <c r="G61" s="11"/>
      <c r="H61" s="11"/>
    </row>
    <row r="62" ht="19.5" customHeight="1">
      <c r="A62" s="19" t="s">
        <v>158</v>
      </c>
      <c r="B62" s="19" t="s">
        <v>159</v>
      </c>
      <c r="C62" s="19" t="s">
        <v>160</v>
      </c>
      <c r="D62" s="19" t="s">
        <v>26</v>
      </c>
      <c r="E62" s="19" t="s">
        <v>32</v>
      </c>
      <c r="F62" s="19" t="s">
        <v>161</v>
      </c>
      <c r="G62" s="18">
        <v>11</v>
      </c>
      <c r="H62" s="18"/>
    </row>
    <row r="63" ht="19.5" customHeight="1">
      <c r="A63" s="25" t="s">
        <v>162</v>
      </c>
      <c r="B63" s="25" t="s">
        <v>159</v>
      </c>
      <c r="C63" s="25" t="s">
        <v>163</v>
      </c>
      <c r="D63" s="25" t="s">
        <v>164</v>
      </c>
      <c r="E63" s="25" t="s">
        <v>61</v>
      </c>
      <c r="F63" s="25" t="s">
        <v>165</v>
      </c>
      <c r="G63" s="26">
        <v>12</v>
      </c>
      <c r="H63" s="26"/>
    </row>
    <row r="64" ht="19.5" customHeight="1">
      <c r="A64" s="9" t="s">
        <v>166</v>
      </c>
      <c r="B64" s="9" t="s">
        <v>159</v>
      </c>
      <c r="C64" s="9" t="s">
        <v>167</v>
      </c>
      <c r="D64" s="9" t="s">
        <v>65</v>
      </c>
      <c r="E64" s="10" t="s">
        <v>12</v>
      </c>
      <c r="F64" s="9" t="s">
        <v>168</v>
      </c>
      <c r="G64" s="11">
        <v>11</v>
      </c>
      <c r="H64" s="11"/>
    </row>
    <row r="65" ht="19.5" customHeight="1">
      <c r="A65" s="11"/>
      <c r="B65" s="11"/>
      <c r="C65" s="11"/>
      <c r="D65" s="11"/>
      <c r="E65" s="11"/>
      <c r="F65" s="11"/>
      <c r="G65" s="11"/>
      <c r="H65" s="11"/>
    </row>
    <row r="66" ht="19.5" customHeight="1">
      <c r="A66" s="17" t="s">
        <v>169</v>
      </c>
      <c r="B66" s="19" t="s">
        <v>169</v>
      </c>
      <c r="C66" s="17" t="s">
        <v>170</v>
      </c>
      <c r="D66" s="19" t="s">
        <v>129</v>
      </c>
      <c r="E66" s="19" t="s">
        <v>32</v>
      </c>
      <c r="F66" s="19" t="s">
        <v>171</v>
      </c>
      <c r="G66" s="18">
        <v>21</v>
      </c>
      <c r="H66" s="18"/>
    </row>
    <row r="67" ht="19.5" customHeight="1">
      <c r="A67" s="34" t="s">
        <v>172</v>
      </c>
      <c r="B67" s="35"/>
      <c r="C67" s="35"/>
      <c r="D67" s="35"/>
      <c r="E67" s="35"/>
      <c r="F67" s="36"/>
      <c r="G67" s="11">
        <f>SUM(G2,G3,G5,G6,G8,G14,G16,G18,G20,G24,G25,G26,G27,G28,G29,G30,G31,G32,G33,G34,G35,G36,G37,G38,G39,G41,G46,G48,G50,G52,G54,G58,G62,G63,G64,G66)</f>
        <v>508</v>
      </c>
    </row>
    <row r="69" ht="19.5" customHeight="1">
      <c r="A69" s="2"/>
      <c r="B69" s="2"/>
      <c r="C69" s="2"/>
      <c r="D69" s="2"/>
      <c r="E69" s="2"/>
      <c r="F69" s="2"/>
      <c r="G69" s="2"/>
    </row>
    <row r="70" ht="19.5" customHeight="1">
      <c r="A70" s="2"/>
      <c r="B70" s="2"/>
      <c r="C70" s="2"/>
      <c r="D70" s="2"/>
      <c r="E70" s="2"/>
      <c r="F70" s="2"/>
    </row>
    <row r="71" ht="19.5" customHeight="1">
      <c r="A71" s="2"/>
      <c r="B71" s="2"/>
      <c r="C71" s="2"/>
      <c r="D71" s="2"/>
      <c r="E71" s="2"/>
      <c r="F71" s="2"/>
    </row>
    <row r="72" ht="19.5" customHeight="1">
      <c r="A72" s="2"/>
      <c r="B72" s="2"/>
      <c r="C72" s="2"/>
      <c r="D72" s="2"/>
      <c r="E72" s="2"/>
      <c r="F72" s="2"/>
    </row>
  </sheetData>
  <mergeCells count="2">
    <mergeCell ref="J2:L2"/>
    <mergeCell ref="A67:F67"/>
  </mergeCells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0.421875"/>
    <col customWidth="1" min="2" max="2" width="24.140625"/>
    <col customWidth="1" min="3" max="3" width="51.140625"/>
    <col customWidth="1" min="4" max="4" width="24.57421875"/>
    <col customWidth="1" min="5" max="5" width="15.8515625"/>
    <col customWidth="1" min="6" max="6" width="41.28125"/>
    <col customWidth="1" min="7" max="7" width="25.28125"/>
  </cols>
  <sheetData>
    <row r="1" ht="23.25">
      <c r="A1" s="37" t="s">
        <v>0</v>
      </c>
      <c r="B1" s="37" t="s">
        <v>1</v>
      </c>
      <c r="C1" s="38" t="s">
        <v>2</v>
      </c>
      <c r="D1" s="37" t="s">
        <v>3</v>
      </c>
      <c r="E1" s="37" t="s">
        <v>4</v>
      </c>
      <c r="F1" s="37" t="s">
        <v>5</v>
      </c>
      <c r="G1" s="39" t="s">
        <v>6</v>
      </c>
      <c r="H1" s="40"/>
    </row>
    <row r="2" ht="37.5">
      <c r="A2" s="41" t="s">
        <v>173</v>
      </c>
      <c r="B2" s="42" t="s">
        <v>173</v>
      </c>
      <c r="C2" s="43" t="s">
        <v>174</v>
      </c>
      <c r="D2" s="42" t="s">
        <v>147</v>
      </c>
      <c r="E2" s="44" t="s">
        <v>12</v>
      </c>
      <c r="F2" s="42" t="s">
        <v>175</v>
      </c>
      <c r="G2" s="45">
        <v>21</v>
      </c>
      <c r="H2" s="46"/>
    </row>
    <row r="3" ht="18.75">
      <c r="A3" s="45"/>
      <c r="B3" s="45"/>
      <c r="C3" s="43"/>
      <c r="D3" s="45"/>
      <c r="E3" s="45"/>
      <c r="F3" s="45"/>
      <c r="G3" s="45"/>
      <c r="H3" s="46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11</cp:revision>
  <dcterms:modified xsi:type="dcterms:W3CDTF">2026-05-22T03:28:48Z</dcterms:modified>
</cp:coreProperties>
</file>